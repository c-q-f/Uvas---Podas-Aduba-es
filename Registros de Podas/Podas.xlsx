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_q_f\Downloads\"/>
    </mc:Choice>
  </mc:AlternateContent>
  <xr:revisionPtr revIDLastSave="0" documentId="8_{C5BC3D81-8274-4283-93F1-4A549585EA63}" xr6:coauthVersionLast="47" xr6:coauthVersionMax="47" xr10:uidLastSave="{00000000-0000-0000-0000-000000000000}"/>
  <bookViews>
    <workbookView xWindow="-108" yWindow="-108" windowWidth="23256" windowHeight="13176" xr2:uid="{76626081-193E-4EA1-B0B5-998E2B4076F3}"/>
  </bookViews>
  <sheets>
    <sheet name="Safra 2025" sheetId="1" r:id="rId1"/>
  </sheets>
  <externalReferences>
    <externalReference r:id="rId2"/>
  </externalReferences>
  <definedNames>
    <definedName name="_xlnm.Print_Area" localSheetId="0">'Safra 2025'!$B$4:$N$70</definedName>
    <definedName name="ciclo" localSheetId="0">'Safra 2025'!$D$4</definedName>
    <definedName name="ciclo">[1]Podas!$E$1</definedName>
    <definedName name="DosagemDeAplicação" comment="DosBula = dosagem em KG ou L por ha especificada na bula.  ConsumoCalda = volume de calda consumida na pulverização de 1 ha.">_xlfn.LAMBDA(_xlpm.DosagemBula_Por_ha,_xlpm.ConsumoCalda_Por_ha, _xlpm.DosagemBula_Por_ha/_xlpm.ConsumoCalda_Por_ha*1000*100)</definedName>
    <definedName name="ha_Niagara">'[1]Dados Práticos'!$E$10</definedName>
    <definedName name="Plantas_ha_Niagara">'[1]Dados Práticos'!$E$9</definedName>
    <definedName name="Plantas_Niagara">'[1]Dados Práticos'!$E$5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9" i="1" l="1"/>
  <c r="G69" i="1" s="1"/>
  <c r="K69" i="1"/>
  <c r="J69" i="1"/>
  <c r="I69" i="1"/>
  <c r="H69" i="1"/>
  <c r="D69" i="1"/>
  <c r="M68" i="1"/>
  <c r="G68" i="1" s="1"/>
  <c r="K68" i="1"/>
  <c r="J68" i="1"/>
  <c r="I68" i="1"/>
  <c r="H68" i="1"/>
  <c r="D68" i="1"/>
  <c r="M67" i="1"/>
  <c r="G67" i="1" s="1"/>
  <c r="K67" i="1"/>
  <c r="J67" i="1"/>
  <c r="I67" i="1"/>
  <c r="H67" i="1"/>
  <c r="D67" i="1"/>
  <c r="M66" i="1"/>
  <c r="G66" i="1" s="1"/>
  <c r="K66" i="1"/>
  <c r="J66" i="1"/>
  <c r="I66" i="1"/>
  <c r="H66" i="1"/>
  <c r="D66" i="1"/>
  <c r="M65" i="1"/>
  <c r="K65" i="1"/>
  <c r="J65" i="1"/>
  <c r="I65" i="1"/>
  <c r="H65" i="1"/>
  <c r="G65" i="1"/>
  <c r="D65" i="1"/>
  <c r="M64" i="1"/>
  <c r="K64" i="1"/>
  <c r="J64" i="1"/>
  <c r="I64" i="1"/>
  <c r="H64" i="1"/>
  <c r="G64" i="1"/>
  <c r="D64" i="1"/>
  <c r="M63" i="1"/>
  <c r="K63" i="1"/>
  <c r="J63" i="1"/>
  <c r="I63" i="1"/>
  <c r="H63" i="1"/>
  <c r="G63" i="1"/>
  <c r="D63" i="1"/>
  <c r="M62" i="1"/>
  <c r="K62" i="1"/>
  <c r="J62" i="1"/>
  <c r="I62" i="1"/>
  <c r="H62" i="1"/>
  <c r="G62" i="1"/>
  <c r="D62" i="1"/>
  <c r="M61" i="1"/>
  <c r="K61" i="1"/>
  <c r="J61" i="1"/>
  <c r="I61" i="1"/>
  <c r="H61" i="1"/>
  <c r="G61" i="1"/>
  <c r="D61" i="1"/>
  <c r="M60" i="1"/>
  <c r="G60" i="1" s="1"/>
  <c r="K60" i="1"/>
  <c r="J60" i="1"/>
  <c r="I60" i="1"/>
  <c r="H60" i="1"/>
  <c r="D60" i="1"/>
  <c r="M59" i="1"/>
  <c r="K59" i="1"/>
  <c r="J59" i="1"/>
  <c r="I59" i="1"/>
  <c r="H59" i="1"/>
  <c r="G59" i="1"/>
  <c r="D59" i="1"/>
  <c r="M58" i="1"/>
  <c r="K58" i="1"/>
  <c r="J58" i="1"/>
  <c r="I58" i="1"/>
  <c r="H58" i="1"/>
  <c r="G58" i="1"/>
  <c r="D58" i="1"/>
  <c r="M57" i="1"/>
  <c r="K57" i="1"/>
  <c r="J57" i="1"/>
  <c r="I57" i="1"/>
  <c r="H57" i="1"/>
  <c r="G57" i="1"/>
  <c r="D57" i="1"/>
  <c r="M56" i="1"/>
  <c r="K56" i="1"/>
  <c r="J56" i="1"/>
  <c r="I56" i="1"/>
  <c r="H56" i="1"/>
  <c r="G56" i="1"/>
  <c r="D56" i="1"/>
  <c r="M55" i="1"/>
  <c r="K55" i="1"/>
  <c r="J55" i="1"/>
  <c r="I55" i="1"/>
  <c r="H55" i="1"/>
  <c r="G55" i="1"/>
  <c r="D55" i="1"/>
  <c r="M54" i="1"/>
  <c r="K54" i="1"/>
  <c r="J54" i="1"/>
  <c r="I54" i="1"/>
  <c r="H54" i="1"/>
  <c r="G54" i="1"/>
  <c r="D54" i="1"/>
  <c r="M53" i="1"/>
  <c r="K53" i="1"/>
  <c r="J53" i="1"/>
  <c r="I53" i="1"/>
  <c r="H53" i="1"/>
  <c r="G53" i="1"/>
  <c r="D53" i="1"/>
  <c r="M52" i="1"/>
  <c r="K52" i="1"/>
  <c r="J52" i="1"/>
  <c r="I52" i="1"/>
  <c r="H52" i="1"/>
  <c r="G52" i="1"/>
  <c r="D52" i="1"/>
  <c r="M51" i="1"/>
  <c r="K51" i="1"/>
  <c r="J51" i="1"/>
  <c r="I51" i="1"/>
  <c r="H51" i="1"/>
  <c r="G51" i="1"/>
  <c r="D51" i="1"/>
  <c r="M50" i="1"/>
  <c r="K50" i="1"/>
  <c r="J50" i="1"/>
  <c r="I50" i="1"/>
  <c r="H50" i="1"/>
  <c r="G50" i="1"/>
  <c r="D50" i="1"/>
  <c r="M49" i="1"/>
  <c r="K49" i="1"/>
  <c r="J49" i="1"/>
  <c r="I49" i="1"/>
  <c r="H49" i="1"/>
  <c r="G49" i="1"/>
  <c r="D49" i="1"/>
  <c r="M48" i="1"/>
  <c r="K48" i="1"/>
  <c r="J48" i="1"/>
  <c r="I48" i="1"/>
  <c r="H48" i="1"/>
  <c r="G48" i="1"/>
  <c r="D48" i="1"/>
  <c r="M47" i="1"/>
  <c r="K47" i="1"/>
  <c r="J47" i="1"/>
  <c r="I47" i="1"/>
  <c r="H47" i="1"/>
  <c r="G47" i="1"/>
  <c r="D47" i="1"/>
  <c r="M46" i="1"/>
  <c r="G46" i="1" s="1"/>
  <c r="K46" i="1"/>
  <c r="J46" i="1"/>
  <c r="I46" i="1"/>
  <c r="H46" i="1"/>
  <c r="D46" i="1"/>
  <c r="M45" i="1"/>
  <c r="K45" i="1"/>
  <c r="J45" i="1"/>
  <c r="I45" i="1"/>
  <c r="H45" i="1"/>
  <c r="G45" i="1"/>
  <c r="D45" i="1"/>
  <c r="M44" i="1"/>
  <c r="K44" i="1"/>
  <c r="J44" i="1"/>
  <c r="I44" i="1"/>
  <c r="H44" i="1"/>
  <c r="G44" i="1"/>
  <c r="D44" i="1"/>
  <c r="M43" i="1"/>
  <c r="K43" i="1"/>
  <c r="J43" i="1"/>
  <c r="I43" i="1"/>
  <c r="H43" i="1"/>
  <c r="G43" i="1"/>
  <c r="D43" i="1"/>
  <c r="M42" i="1"/>
  <c r="K42" i="1"/>
  <c r="J42" i="1"/>
  <c r="I42" i="1"/>
  <c r="H42" i="1"/>
  <c r="G42" i="1"/>
  <c r="D42" i="1"/>
  <c r="K41" i="1"/>
  <c r="J41" i="1"/>
  <c r="I41" i="1"/>
  <c r="H41" i="1"/>
  <c r="G41" i="1"/>
  <c r="D41" i="1"/>
  <c r="K40" i="1"/>
  <c r="J40" i="1"/>
  <c r="I40" i="1"/>
  <c r="H40" i="1"/>
  <c r="G40" i="1"/>
  <c r="D40" i="1"/>
  <c r="K39" i="1"/>
  <c r="J39" i="1"/>
  <c r="I39" i="1"/>
  <c r="H39" i="1"/>
  <c r="G39" i="1"/>
  <c r="D39" i="1"/>
  <c r="K38" i="1"/>
  <c r="J38" i="1"/>
  <c r="I38" i="1"/>
  <c r="H38" i="1"/>
  <c r="G38" i="1"/>
  <c r="D38" i="1"/>
  <c r="K37" i="1"/>
  <c r="J37" i="1"/>
  <c r="I37" i="1"/>
  <c r="H37" i="1"/>
  <c r="G37" i="1"/>
  <c r="D37" i="1"/>
  <c r="K36" i="1"/>
  <c r="J36" i="1"/>
  <c r="I36" i="1"/>
  <c r="H36" i="1"/>
  <c r="G36" i="1"/>
  <c r="D36" i="1"/>
  <c r="K35" i="1"/>
  <c r="J35" i="1"/>
  <c r="I35" i="1"/>
  <c r="H35" i="1"/>
  <c r="G35" i="1"/>
  <c r="D35" i="1"/>
  <c r="K34" i="1"/>
  <c r="J34" i="1"/>
  <c r="I34" i="1"/>
  <c r="H34" i="1"/>
  <c r="G34" i="1"/>
  <c r="D34" i="1"/>
  <c r="K33" i="1"/>
  <c r="J33" i="1"/>
  <c r="I33" i="1"/>
  <c r="H33" i="1"/>
  <c r="G33" i="1"/>
  <c r="D33" i="1"/>
  <c r="K32" i="1"/>
  <c r="J32" i="1"/>
  <c r="I32" i="1"/>
  <c r="H32" i="1"/>
  <c r="G32" i="1"/>
  <c r="D32" i="1"/>
  <c r="K31" i="1"/>
  <c r="J31" i="1"/>
  <c r="I31" i="1"/>
  <c r="H31" i="1"/>
  <c r="G31" i="1"/>
  <c r="D31" i="1"/>
  <c r="K30" i="1"/>
  <c r="J30" i="1"/>
  <c r="I30" i="1"/>
  <c r="H30" i="1"/>
  <c r="G30" i="1"/>
  <c r="D30" i="1"/>
  <c r="K29" i="1"/>
  <c r="J29" i="1"/>
  <c r="I29" i="1"/>
  <c r="H29" i="1"/>
  <c r="G29" i="1"/>
  <c r="D29" i="1"/>
  <c r="K28" i="1"/>
  <c r="J28" i="1"/>
  <c r="I28" i="1"/>
  <c r="H28" i="1"/>
  <c r="G28" i="1"/>
  <c r="D28" i="1"/>
  <c r="K27" i="1"/>
  <c r="J27" i="1"/>
  <c r="I27" i="1"/>
  <c r="H27" i="1"/>
  <c r="G27" i="1"/>
  <c r="D27" i="1"/>
  <c r="K26" i="1"/>
  <c r="J26" i="1"/>
  <c r="I26" i="1"/>
  <c r="H26" i="1"/>
  <c r="G26" i="1"/>
  <c r="D26" i="1"/>
  <c r="M25" i="1"/>
  <c r="K25" i="1"/>
  <c r="J25" i="1"/>
  <c r="I25" i="1"/>
  <c r="H25" i="1"/>
  <c r="G25" i="1"/>
  <c r="D25" i="1"/>
  <c r="M24" i="1"/>
  <c r="K24" i="1"/>
  <c r="J24" i="1"/>
  <c r="I24" i="1"/>
  <c r="H24" i="1"/>
  <c r="G24" i="1"/>
  <c r="D24" i="1"/>
  <c r="M23" i="1"/>
  <c r="K23" i="1"/>
  <c r="J23" i="1"/>
  <c r="I23" i="1"/>
  <c r="H23" i="1"/>
  <c r="G23" i="1"/>
  <c r="D23" i="1"/>
  <c r="M22" i="1"/>
  <c r="K22" i="1"/>
  <c r="J22" i="1"/>
  <c r="I22" i="1"/>
  <c r="H22" i="1"/>
  <c r="G22" i="1"/>
  <c r="D22" i="1"/>
  <c r="M21" i="1"/>
  <c r="K21" i="1"/>
  <c r="J21" i="1"/>
  <c r="I21" i="1"/>
  <c r="H21" i="1"/>
  <c r="G21" i="1"/>
  <c r="D21" i="1"/>
  <c r="M20" i="1"/>
  <c r="G20" i="1" s="1"/>
  <c r="K20" i="1"/>
  <c r="J20" i="1"/>
  <c r="I20" i="1"/>
  <c r="H20" i="1"/>
  <c r="D20" i="1"/>
  <c r="M19" i="1"/>
  <c r="K19" i="1"/>
  <c r="J19" i="1"/>
  <c r="I19" i="1"/>
  <c r="H19" i="1"/>
  <c r="G19" i="1"/>
  <c r="D19" i="1"/>
  <c r="M18" i="1"/>
  <c r="K18" i="1"/>
  <c r="J18" i="1"/>
  <c r="I18" i="1"/>
  <c r="H18" i="1"/>
  <c r="G18" i="1"/>
  <c r="D18" i="1"/>
  <c r="M17" i="1"/>
  <c r="K17" i="1"/>
  <c r="J17" i="1"/>
  <c r="I17" i="1"/>
  <c r="H17" i="1"/>
  <c r="G17" i="1"/>
  <c r="D17" i="1"/>
  <c r="M16" i="1"/>
  <c r="K16" i="1"/>
  <c r="J16" i="1"/>
  <c r="I16" i="1"/>
  <c r="H16" i="1"/>
  <c r="G16" i="1"/>
  <c r="D16" i="1"/>
  <c r="M15" i="1"/>
  <c r="K15" i="1"/>
  <c r="J15" i="1"/>
  <c r="I15" i="1"/>
  <c r="H15" i="1"/>
  <c r="G15" i="1"/>
  <c r="D15" i="1"/>
  <c r="M14" i="1"/>
  <c r="K14" i="1"/>
  <c r="J14" i="1"/>
  <c r="I14" i="1"/>
  <c r="H14" i="1"/>
  <c r="G14" i="1"/>
  <c r="D14" i="1"/>
  <c r="M13" i="1"/>
  <c r="K13" i="1"/>
  <c r="J13" i="1"/>
  <c r="I13" i="1"/>
  <c r="H13" i="1"/>
  <c r="G13" i="1"/>
  <c r="D13" i="1"/>
  <c r="M12" i="1"/>
  <c r="K12" i="1"/>
  <c r="J12" i="1"/>
  <c r="I12" i="1"/>
  <c r="H12" i="1"/>
  <c r="G12" i="1"/>
  <c r="D12" i="1"/>
  <c r="M11" i="1"/>
  <c r="K11" i="1"/>
  <c r="J11" i="1"/>
  <c r="I11" i="1"/>
  <c r="H11" i="1"/>
  <c r="G11" i="1"/>
  <c r="D11" i="1"/>
  <c r="M10" i="1"/>
  <c r="K10" i="1"/>
  <c r="J10" i="1"/>
  <c r="I10" i="1"/>
  <c r="H10" i="1"/>
  <c r="G10" i="1"/>
  <c r="D10" i="1"/>
  <c r="M9" i="1"/>
  <c r="K9" i="1"/>
  <c r="J9" i="1"/>
  <c r="I9" i="1"/>
  <c r="H9" i="1"/>
  <c r="G9" i="1"/>
  <c r="D9" i="1"/>
  <c r="M8" i="1"/>
  <c r="G8" i="1" s="1"/>
  <c r="K8" i="1"/>
  <c r="J8" i="1"/>
  <c r="I8" i="1"/>
  <c r="H8" i="1"/>
  <c r="D8" i="1"/>
  <c r="L5" i="1"/>
  <c r="I5" i="1"/>
  <c r="D5" i="1"/>
  <c r="L4" i="1"/>
  <c r="M5" i="1" s="1"/>
  <c r="I4" i="1"/>
  <c r="I2" i="1" s="1"/>
  <c r="F4" i="1"/>
  <c r="F3" i="1"/>
  <c r="F2" i="1"/>
  <c r="I1" i="1" s="1"/>
  <c r="G3" i="1" l="1"/>
  <c r="F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CQF .</author>
  </authors>
  <commentList>
    <comment ref="H7" authorId="0" shapeId="0" xr:uid="{7D3D00B6-503D-4111-AC12-5566EE1730EF}">
      <text>
        <r>
          <rPr>
            <sz val="9"/>
            <color indexed="81"/>
            <rFont val="Segoe UI"/>
            <family val="2"/>
          </rPr>
          <t>Calcinit: 100 g</t>
        </r>
      </text>
    </comment>
    <comment ref="I7" authorId="0" shapeId="0" xr:uid="{48125508-9922-4A23-8AE6-F1EEBC6AE20A}">
      <text>
        <r>
          <rPr>
            <sz val="9"/>
            <color indexed="81"/>
            <rFont val="Segoe UI"/>
            <family val="2"/>
          </rPr>
          <t>Calcinit: 70 g
HiPhos: 100 g</t>
        </r>
      </text>
    </comment>
    <comment ref="J7" authorId="0" shapeId="0" xr:uid="{B4BAE03D-4191-4AF2-94BE-38029B03DB58}">
      <text>
        <r>
          <rPr>
            <sz val="9"/>
            <color indexed="81"/>
            <rFont val="Segoe UI"/>
            <family val="2"/>
          </rPr>
          <t>Calcinit: 50g</t>
        </r>
      </text>
    </comment>
  </commentList>
</comments>
</file>

<file path=xl/sharedStrings.xml><?xml version="1.0" encoding="utf-8"?>
<sst xmlns="http://schemas.openxmlformats.org/spreadsheetml/2006/main" count="166" uniqueCount="28">
  <si>
    <t>podas curtas:</t>
  </si>
  <si>
    <t>r. poda curta:</t>
  </si>
  <si>
    <t>podas longas:</t>
  </si>
  <si>
    <t>r. poda longa:</t>
  </si>
  <si>
    <t>total ruas:</t>
  </si>
  <si>
    <t>ciclo (dias)</t>
  </si>
  <si>
    <t>r.podadas:</t>
  </si>
  <si>
    <t>ruas colhidas:</t>
  </si>
  <si>
    <t>ciclo apurado (dias)</t>
  </si>
  <si>
    <t>r.faltantes:</t>
  </si>
  <si>
    <t>ruas faltantes:</t>
  </si>
  <si>
    <t>.: Registro de Podas</t>
  </si>
  <si>
    <t>Rua</t>
  </si>
  <si>
    <t>Poda</t>
  </si>
  <si>
    <t>Semana</t>
  </si>
  <si>
    <t>Tipo</t>
  </si>
  <si>
    <t>Safra</t>
  </si>
  <si>
    <t>Idade</t>
  </si>
  <si>
    <t>10d</t>
  </si>
  <si>
    <t>30d</t>
  </si>
  <si>
    <t>45d</t>
  </si>
  <si>
    <t>Previsão</t>
  </si>
  <si>
    <t>Colheita</t>
  </si>
  <si>
    <t>Colhida</t>
  </si>
  <si>
    <t>Curta</t>
  </si>
  <si>
    <t>26/1ª</t>
  </si>
  <si>
    <t>o</t>
  </si>
  <si>
    <t>Longa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</si>
</sst>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[$-416]d\-mmm\-yy;@"/>
    <numFmt numFmtId="166" formatCode="dd/mm"/>
    <numFmt numFmtId="167" formatCode="dd/mm;@"/>
  </numFmts>
  <fonts count="12" x14ac:knownFonts="1">
    <font>
      <sz val="10"/>
      <name val="Arial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  <font>
      <sz val="9"/>
      <name val="Segoe UI"/>
      <family val="2"/>
    </font>
    <font>
      <sz val="9"/>
      <name val="Segoe UI Semibold"/>
      <family val="2"/>
    </font>
    <font>
      <sz val="10"/>
      <name val="Arial"/>
      <family val="2"/>
    </font>
    <font>
      <b/>
      <sz val="9"/>
      <color theme="1" tint="0.499984740745262"/>
      <name val="Segoe UI Semibold"/>
      <family val="2"/>
    </font>
    <font>
      <sz val="9"/>
      <name val="Arial"/>
      <family val="2"/>
    </font>
    <font>
      <sz val="10"/>
      <name val="Wingdings"/>
      <charset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37">
    <xf numFmtId="0" fontId="0" fillId="0" borderId="0" xfId="0"/>
    <xf numFmtId="0" fontId="1" fillId="2" borderId="1" xfId="2" applyBorder="1"/>
    <xf numFmtId="0" fontId="1" fillId="2" borderId="2" xfId="2" applyBorder="1" applyAlignment="1">
      <alignment horizontal="right"/>
    </xf>
    <xf numFmtId="0" fontId="1" fillId="2" borderId="2" xfId="2" applyBorder="1"/>
    <xf numFmtId="0" fontId="1" fillId="2" borderId="3" xfId="2" applyBorder="1"/>
    <xf numFmtId="1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1" fillId="2" borderId="4" xfId="2" applyBorder="1"/>
    <xf numFmtId="1" fontId="1" fillId="2" borderId="0" xfId="2" applyNumberFormat="1" applyBorder="1" applyAlignment="1">
      <alignment horizontal="right"/>
    </xf>
    <xf numFmtId="0" fontId="1" fillId="2" borderId="0" xfId="2" applyBorder="1"/>
    <xf numFmtId="0" fontId="1" fillId="2" borderId="5" xfId="2" applyBorder="1"/>
    <xf numFmtId="1" fontId="1" fillId="2" borderId="6" xfId="2" applyNumberFormat="1" applyBorder="1" applyAlignment="1">
      <alignment horizontal="center"/>
    </xf>
    <xf numFmtId="1" fontId="1" fillId="2" borderId="7" xfId="2" applyNumberFormat="1" applyBorder="1" applyAlignment="1">
      <alignment horizontal="center"/>
    </xf>
    <xf numFmtId="1" fontId="1" fillId="2" borderId="8" xfId="2" applyNumberForma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" fontId="4" fillId="0" borderId="0" xfId="0" applyNumberFormat="1" applyFont="1"/>
    <xf numFmtId="1" fontId="5" fillId="0" borderId="0" xfId="0" applyNumberFormat="1" applyFont="1" applyAlignment="1">
      <alignment horizontal="right"/>
    </xf>
    <xf numFmtId="9" fontId="8" fillId="0" borderId="0" xfId="1" applyFont="1" applyAlignment="1">
      <alignment horizontal="left"/>
    </xf>
    <xf numFmtId="1" fontId="5" fillId="0" borderId="0" xfId="0" applyNumberFormat="1" applyFont="1"/>
    <xf numFmtId="9" fontId="6" fillId="0" borderId="0" xfId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4" fillId="0" borderId="0" xfId="0" applyFont="1"/>
    <xf numFmtId="0" fontId="9" fillId="0" borderId="0" xfId="0" applyFont="1" applyAlignment="1">
      <alignment horizontal="right"/>
    </xf>
    <xf numFmtId="0" fontId="2" fillId="3" borderId="0" xfId="3" applyFont="1" applyAlignment="1">
      <alignment horizontal="center" vertical="center"/>
    </xf>
    <xf numFmtId="0" fontId="9" fillId="0" borderId="0" xfId="0" applyFont="1" applyAlignment="1">
      <alignment horizontal="left" indent="1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right" indent="1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</cellXfs>
  <cellStyles count="4">
    <cellStyle name="60% - Ênfase5" xfId="3" builtinId="48"/>
    <cellStyle name="Bom" xfId="2" builtinId="26"/>
    <cellStyle name="Normal" xfId="0" builtinId="0"/>
    <cellStyle name="Porcentagem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Wingdings"/>
        <scheme val="none"/>
      </font>
      <numFmt numFmtId="0" formatCode="General"/>
      <alignment horizontal="center" vertical="bottom" textRotation="0" wrapText="0" indent="0" justifyLastLine="0" shrinkToFit="0" readingOrder="0"/>
    </dxf>
    <dxf>
      <numFmt numFmtId="167" formatCode="dd/mm;@"/>
      <alignment horizontal="center" vertical="bottom" textRotation="0" wrapText="0" indent="0" justifyLastLine="0" shrinkToFit="0" readingOrder="0"/>
    </dxf>
    <dxf>
      <numFmt numFmtId="167" formatCode="dd/mm;@"/>
      <alignment horizontal="center" vertical="bottom" textRotation="0" wrapText="0" indent="0" justifyLastLine="0" shrinkToFit="0" readingOrder="0"/>
    </dxf>
    <dxf>
      <numFmt numFmtId="166" formatCode="dd/mm"/>
      <alignment horizontal="center" vertical="bottom" textRotation="0" wrapText="0" indent="0" justifyLastLine="0" shrinkToFit="0" readingOrder="0"/>
    </dxf>
    <dxf>
      <numFmt numFmtId="166" formatCode="dd/mm"/>
      <alignment horizontal="center" vertical="bottom" textRotation="0" wrapText="0" indent="0" justifyLastLine="0" shrinkToFit="0" readingOrder="0"/>
    </dxf>
    <dxf>
      <numFmt numFmtId="166" formatCode="dd/mm"/>
      <alignment horizontal="center" vertical="bottom" textRotation="0" wrapText="0" indent="0" justifyLastLine="0" shrinkToFit="0" readingOrder="0"/>
    </dxf>
    <dxf>
      <numFmt numFmtId="1" formatCode="0"/>
      <alignment horizontal="right" vertical="bottom" textRotation="0" wrapText="0" indent="1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-416]d\-mmm\-yy;@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>
        <top style="thin">
          <color theme="4" tint="-0.24994659260841701"/>
        </top>
        <bottom/>
        <vertical/>
        <horizontal/>
      </border>
    </dxf>
    <dxf>
      <border>
        <top style="thin">
          <color theme="4" tint="-0.24994659260841701"/>
        </top>
        <bottom/>
        <vertical/>
        <horizontal/>
      </border>
    </dxf>
    <dxf>
      <font>
        <b/>
        <i val="0"/>
        <strike val="0"/>
        <color theme="9" tint="-0.24994659260841701"/>
      </font>
    </dxf>
    <dxf>
      <border>
        <top style="thin">
          <color theme="4" tint="-0.2499465926084170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0tm4.sharepoint.com/sites/Agribusiness2/Documentos%20Compartilhados/Registros/Uva%20-%20Registros.xlsx" TargetMode="External"/><Relationship Id="rId1" Type="http://schemas.openxmlformats.org/officeDocument/2006/relationships/externalLinkPath" Target="https://t0tm4.sharepoint.com/sites/Agribusiness2/Documentos%20Compartilhados/Registros/Uva%20-%20Regist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ção"/>
      <sheetName val="Dados Práticos"/>
      <sheetName val="Tabelas"/>
      <sheetName val="Ferti-Cálculo 01"/>
      <sheetName val="Ferti-Cálculo 01 (b)"/>
      <sheetName val="Ferti-Cálculo 01 (c)"/>
      <sheetName val="Ferti-Preços"/>
      <sheetName val="Defensivos"/>
      <sheetName val="Cálculo de Pulverização"/>
      <sheetName val="Safra 2021 (3)"/>
      <sheetName val="Vendas"/>
      <sheetName val="Estatísticas de Vendas"/>
      <sheetName val="Faturamento Mensal"/>
      <sheetName val="Poda &amp; Colheita"/>
      <sheetName val="Podas"/>
      <sheetName val="Safra 2020"/>
      <sheetName val="Safra 2020 - Relatório"/>
      <sheetName val="Safra 2021 (1)"/>
      <sheetName val="Safra 2021 - Relatório"/>
      <sheetName val="Safra 2021 (2)"/>
      <sheetName val="Safra 2022"/>
      <sheetName val="Safra 2025"/>
    </sheetNames>
    <sheetDataSet>
      <sheetData sheetId="0"/>
      <sheetData sheetId="1">
        <row r="5">
          <cell r="E5">
            <v>3776</v>
          </cell>
        </row>
        <row r="9">
          <cell r="E9">
            <v>3333.333333333333</v>
          </cell>
        </row>
        <row r="10">
          <cell r="E10">
            <v>1.1328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E1">
            <v>110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F7E61-8386-45D6-B7DC-3291DAB05F3C}" name="tbPodasAtual" displayName="tbPodasAtual" ref="B7:M69" totalsRowShown="0" headerRowDxfId="12">
  <autoFilter ref="B7:M69" xr:uid="{00000000-0009-0000-0100-000006000000}"/>
  <sortState xmlns:xlrd2="http://schemas.microsoft.com/office/spreadsheetml/2017/richdata2" ref="B8:M69">
    <sortCondition ref="B7:B69"/>
  </sortState>
  <tableColumns count="12">
    <tableColumn id="1" xr3:uid="{3549BB21-427F-4DB4-9256-5FBBCE445AF5}" name="Rua" dataDxfId="11">
      <calculatedColumnFormula>IF(ISNUMBER(B7),B7+1,"")</calculatedColumnFormula>
    </tableColumn>
    <tableColumn id="2" xr3:uid="{CDD724D1-46F1-4B7B-B34C-FA0A37847B4F}" name="Poda" dataDxfId="10"/>
    <tableColumn id="9" xr3:uid="{F5AFF872-2411-4397-8D6B-5E9FD95785BE}" name="Semana" dataDxfId="9">
      <calculatedColumnFormula>IF(ISBLANK(tbPodasAtual[[#This Row],[Poda]]),"",_xlfn.ISOWEEKNUM(tbPodasAtual[[#This Row],[Poda]]))</calculatedColumnFormula>
    </tableColumn>
    <tableColumn id="6" xr3:uid="{95E6E97D-5D35-4C0C-A48D-D49445CE3F7D}" name="Tipo" dataDxfId="8"/>
    <tableColumn id="3" xr3:uid="{1924C7C0-1984-4B07-9C2C-0879687A06C0}" name="Safra" dataDxfId="7"/>
    <tableColumn id="4" xr3:uid="{7CC8D272-5E91-437F-A194-4EEB166801D7}" name="Idade" dataDxfId="6">
      <calculatedColumnFormula>IF(tbPodasAtual[[#This Row],[Poda]]="","",IF(tbPodasAtual[[#This Row],[Colhida]]="x",tbPodasAtual[[#This Row],[Colheita]]-tbPodasAtual[[#This Row],[Poda]],TODAY()-tbPodasAtual[[#This Row],[Poda]]))</calculatedColumnFormula>
    </tableColumn>
    <tableColumn id="12" xr3:uid="{25A7C940-9A00-4C9B-80A7-512895C200D4}" name="10d" dataDxfId="5">
      <calculatedColumnFormula>IF(ISBLANK(tbPodasAtual[[#This Row],[Poda]]),"",tbPodasAtual[[#This Row],[Poda]]+10)</calculatedColumnFormula>
    </tableColumn>
    <tableColumn id="11" xr3:uid="{45544403-1735-4864-A3F8-85A3FBE9634E}" name="30d" dataDxfId="4">
      <calculatedColumnFormula>IF(ISBLANK(tbPodasAtual[[#This Row],[Poda]]),"",tbPodasAtual[[#This Row],[Poda]]+30)</calculatedColumnFormula>
    </tableColumn>
    <tableColumn id="10" xr3:uid="{608CF022-12D4-4B0F-902B-7DF8E553A526}" name="45d" dataDxfId="3">
      <calculatedColumnFormula>IF(ISBLANK(tbPodasAtual[[#This Row],[Poda]]),"",tbPodasAtual[[#This Row],[Poda]]+45)</calculatedColumnFormula>
    </tableColumn>
    <tableColumn id="7" xr3:uid="{908ECDA2-6740-4D0E-8A17-9CD17D625B41}" name="Previsão" dataDxfId="2">
      <calculatedColumnFormula>IF(tbPodasAtual[[#This Row],[Poda]]="","",tbPodasAtual[[#This Row],[Poda]]+110)</calculatedColumnFormula>
    </tableColumn>
    <tableColumn id="8" xr3:uid="{5E1EA1E1-92E8-4CE5-8495-9C9E070E1AE5}" name="Colheita" dataDxfId="1"/>
    <tableColumn id="5" xr3:uid="{52210514-483A-4FA8-9131-7B40E54CBA46}" name="Colhida" dataDxfId="0">
      <calculatedColumnFormula>"o"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4F72-D102-4777-9AB0-08B3D2DE8300}">
  <sheetPr>
    <tabColor rgb="FF002060"/>
    <pageSetUpPr fitToPage="1"/>
  </sheetPr>
  <dimension ref="A1:M69"/>
  <sheetViews>
    <sheetView showGridLines="0" tabSelected="1" workbookViewId="0">
      <pane ySplit="7" topLeftCell="A8" activePane="bottomLeft" state="frozen"/>
      <selection pane="bottomLeft" activeCell="B69" sqref="B69"/>
    </sheetView>
  </sheetViews>
  <sheetFormatPr defaultRowHeight="13.2" outlineLevelRow="1" x14ac:dyDescent="0.25"/>
  <cols>
    <col min="5" max="5" width="7.33203125" bestFit="1" customWidth="1"/>
    <col min="7" max="7" width="8.6640625" bestFit="1" customWidth="1"/>
    <col min="8" max="10" width="8.6640625" customWidth="1"/>
    <col min="11" max="11" width="11.44140625" bestFit="1" customWidth="1"/>
    <col min="12" max="12" width="9.88671875" bestFit="1" customWidth="1"/>
    <col min="13" max="13" width="9.33203125" bestFit="1" customWidth="1"/>
  </cols>
  <sheetData>
    <row r="1" spans="1:13" ht="14.4" hidden="1" outlineLevel="1" x14ac:dyDescent="0.3">
      <c r="G1" s="1"/>
      <c r="H1" s="2" t="s">
        <v>0</v>
      </c>
      <c r="I1" s="3" t="str">
        <f>TEXT(F2,"0") &amp; " ruas " &amp; " (" &amp; TEXT(I5,"0%") &amp; ")"</f>
        <v>25 ruas  (40%)</v>
      </c>
      <c r="J1" s="4"/>
    </row>
    <row r="2" spans="1:13" ht="14.4" hidden="1" outlineLevel="1" x14ac:dyDescent="0.3">
      <c r="E2" s="5" t="s">
        <v>1</v>
      </c>
      <c r="F2" s="6">
        <f>COUNTIF(tbPodasAtual[Tipo],"=Curta")</f>
        <v>25</v>
      </c>
      <c r="G2" s="7"/>
      <c r="H2" s="8" t="s">
        <v>2</v>
      </c>
      <c r="I2" s="9" t="str">
        <f>TEXT(F3,"0") &amp; " ruas " &amp; " (" &amp; TEXT(I4,"0%") &amp; ")"</f>
        <v>37 ruas  (60%)</v>
      </c>
      <c r="J2" s="10"/>
    </row>
    <row r="3" spans="1:13" ht="14.4" hidden="1" outlineLevel="1" x14ac:dyDescent="0.3">
      <c r="E3" s="5" t="s">
        <v>3</v>
      </c>
      <c r="F3" s="6">
        <f>COUNTIF(tbPodasAtual[Tipo],"=Longa")</f>
        <v>37</v>
      </c>
      <c r="G3" s="11" t="str">
        <f>"rua podadas: " &amp; F4 &amp; " | " &amp; "não podadas: " &amp; F5</f>
        <v>rua podadas: 62 | não podadas: 0</v>
      </c>
      <c r="H3" s="12"/>
      <c r="I3" s="12"/>
      <c r="J3" s="13"/>
    </row>
    <row r="4" spans="1:13" ht="13.8" hidden="1" outlineLevel="1" x14ac:dyDescent="0.3">
      <c r="A4" s="14" t="s">
        <v>4</v>
      </c>
      <c r="B4" s="15">
        <v>62</v>
      </c>
      <c r="C4" s="16" t="s">
        <v>5</v>
      </c>
      <c r="D4" s="15">
        <v>110</v>
      </c>
      <c r="E4" s="17" t="s">
        <v>6</v>
      </c>
      <c r="F4" s="6">
        <f>SUBTOTAL(3,tbPodasAtual[Poda])</f>
        <v>62</v>
      </c>
      <c r="H4" s="18" t="s">
        <v>2</v>
      </c>
      <c r="I4" s="19">
        <f>COUNTIF(tbPodasAtual[Tipo],"=Longa")/SUBTOTAL(3,tbPodasAtual[Poda])</f>
        <v>0.59677419354838712</v>
      </c>
      <c r="J4" s="20"/>
      <c r="K4" s="16" t="s">
        <v>7</v>
      </c>
      <c r="L4" s="15">
        <f>COUNTIF(tbPodasAtual[Colhida],"=x")</f>
        <v>0</v>
      </c>
      <c r="M4" s="21" t="str">
        <f>"podadas: " &amp; TEXT(F4/B4," 0,0%")</f>
        <v>podadas:  100,0%</v>
      </c>
    </row>
    <row r="5" spans="1:13" ht="13.8" hidden="1" outlineLevel="1" x14ac:dyDescent="0.3">
      <c r="A5" s="14"/>
      <c r="B5" s="14"/>
      <c r="C5" s="16" t="s">
        <v>8</v>
      </c>
      <c r="D5" s="22" t="str">
        <f>IFERROR(SUMIF(tbPodasAtual[Colhida],"=x",tbPodasAtual[Idade]) / COUNTIF(tbPodasAtual[Colhida],"=x"),"")</f>
        <v/>
      </c>
      <c r="E5" s="23" t="s">
        <v>9</v>
      </c>
      <c r="F5" s="6">
        <f>B4-F4</f>
        <v>0</v>
      </c>
      <c r="H5" s="24" t="s">
        <v>0</v>
      </c>
      <c r="I5" s="19">
        <f>COUNTIF(tbPodasAtual[Tipo],"=Curta")/SUBTOTAL(3,tbPodasAtual[Poda])</f>
        <v>0.40322580645161288</v>
      </c>
      <c r="J5" s="14"/>
      <c r="K5" s="16" t="s">
        <v>10</v>
      </c>
      <c r="L5" s="15">
        <f>COUNTIF(tbPodasAtual[Colhida],"=o")</f>
        <v>62</v>
      </c>
      <c r="M5" s="21" t="str">
        <f>"colhidas:  " &amp; TEXT(L4/F4,"0,0%")</f>
        <v>colhidas:  0,0%</v>
      </c>
    </row>
    <row r="6" spans="1:13" ht="14.4" collapsed="1" x14ac:dyDescent="0.25">
      <c r="B6" s="25" t="s">
        <v>11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x14ac:dyDescent="0.25">
      <c r="B7" s="26" t="s">
        <v>12</v>
      </c>
      <c r="C7" s="26" t="s">
        <v>13</v>
      </c>
      <c r="D7" s="26" t="s">
        <v>14</v>
      </c>
      <c r="E7" s="27" t="s">
        <v>15</v>
      </c>
      <c r="F7" s="27" t="s">
        <v>16</v>
      </c>
      <c r="G7" s="27" t="s">
        <v>17</v>
      </c>
      <c r="H7" s="28" t="s">
        <v>18</v>
      </c>
      <c r="I7" s="28" t="s">
        <v>19</v>
      </c>
      <c r="J7" s="28" t="s">
        <v>20</v>
      </c>
      <c r="K7" s="27" t="s">
        <v>21</v>
      </c>
      <c r="L7" s="27" t="s">
        <v>22</v>
      </c>
      <c r="M7" s="27" t="s">
        <v>23</v>
      </c>
    </row>
    <row r="8" spans="1:13" x14ac:dyDescent="0.25">
      <c r="B8" s="29">
        <v>2</v>
      </c>
      <c r="C8" s="30">
        <v>46085</v>
      </c>
      <c r="D8" s="31">
        <f>IF(ISBLANK(tbPodasAtual[[#This Row],[Poda]]),"",_xlfn.ISOWEEKNUM(tbPodasAtual[[#This Row],[Poda]]))</f>
        <v>10</v>
      </c>
      <c r="E8" s="32" t="s">
        <v>24</v>
      </c>
      <c r="F8" s="31" t="s">
        <v>25</v>
      </c>
      <c r="G8" s="33">
        <f ca="1">IF(tbPodasAtual[[#This Row],[Poda]]="","",IF(tbPodasAtual[[#This Row],[Colhida]]="x",tbPodasAtual[[#This Row],[Colheita]]-tbPodasAtual[[#This Row],[Poda]],TODAY()-tbPodasAtual[[#This Row],[Poda]]))</f>
        <v>75</v>
      </c>
      <c r="H8" s="34">
        <f>IF(ISBLANK(tbPodasAtual[[#This Row],[Poda]]),"",tbPodasAtual[[#This Row],[Poda]]+10)</f>
        <v>46095</v>
      </c>
      <c r="I8" s="34">
        <f>IF(ISBLANK(tbPodasAtual[[#This Row],[Poda]]),"",tbPodasAtual[[#This Row],[Poda]]+30)</f>
        <v>46115</v>
      </c>
      <c r="J8" s="34">
        <f>IF(ISBLANK(tbPodasAtual[[#This Row],[Poda]]),"",tbPodasAtual[[#This Row],[Poda]]+45)</f>
        <v>46130</v>
      </c>
      <c r="K8" s="35">
        <f>IF(tbPodasAtual[[#This Row],[Poda]]="","",tbPodasAtual[[#This Row],[Poda]]+110)</f>
        <v>46195</v>
      </c>
      <c r="L8" s="35"/>
      <c r="M8" s="36" t="str">
        <f t="shared" ref="M8:M25" si="0">"o"</f>
        <v>o</v>
      </c>
    </row>
    <row r="9" spans="1:13" x14ac:dyDescent="0.25">
      <c r="B9" s="29">
        <v>3</v>
      </c>
      <c r="C9" s="30">
        <v>46085</v>
      </c>
      <c r="D9" s="31">
        <f>IF(ISBLANK(tbPodasAtual[[#This Row],[Poda]]),"",_xlfn.ISOWEEKNUM(tbPodasAtual[[#This Row],[Poda]]))</f>
        <v>10</v>
      </c>
      <c r="E9" s="32" t="s">
        <v>24</v>
      </c>
      <c r="F9" s="31" t="s">
        <v>25</v>
      </c>
      <c r="G9" s="33">
        <f ca="1">IF(tbPodasAtual[[#This Row],[Poda]]="","",IF(tbPodasAtual[[#This Row],[Colhida]]="x",tbPodasAtual[[#This Row],[Colheita]]-tbPodasAtual[[#This Row],[Poda]],TODAY()-tbPodasAtual[[#This Row],[Poda]]))</f>
        <v>75</v>
      </c>
      <c r="H9" s="34">
        <f>IF(ISBLANK(tbPodasAtual[[#This Row],[Poda]]),"",tbPodasAtual[[#This Row],[Poda]]+10)</f>
        <v>46095</v>
      </c>
      <c r="I9" s="34">
        <f>IF(ISBLANK(tbPodasAtual[[#This Row],[Poda]]),"",tbPodasAtual[[#This Row],[Poda]]+30)</f>
        <v>46115</v>
      </c>
      <c r="J9" s="34">
        <f>IF(ISBLANK(tbPodasAtual[[#This Row],[Poda]]),"",tbPodasAtual[[#This Row],[Poda]]+45)</f>
        <v>46130</v>
      </c>
      <c r="K9" s="35">
        <f>IF(tbPodasAtual[[#This Row],[Poda]]="","",tbPodasAtual[[#This Row],[Poda]]+110)</f>
        <v>46195</v>
      </c>
      <c r="L9" s="35"/>
      <c r="M9" s="36" t="str">
        <f t="shared" si="0"/>
        <v>o</v>
      </c>
    </row>
    <row r="10" spans="1:13" x14ac:dyDescent="0.25">
      <c r="B10" s="29">
        <v>4</v>
      </c>
      <c r="C10" s="30">
        <v>46085</v>
      </c>
      <c r="D10" s="31">
        <f>IF(ISBLANK(tbPodasAtual[[#This Row],[Poda]]),"",_xlfn.ISOWEEKNUM(tbPodasAtual[[#This Row],[Poda]]))</f>
        <v>10</v>
      </c>
      <c r="E10" s="32" t="s">
        <v>24</v>
      </c>
      <c r="F10" s="31" t="s">
        <v>25</v>
      </c>
      <c r="G10" s="33">
        <f ca="1">IF(tbPodasAtual[[#This Row],[Poda]]="","",IF(tbPodasAtual[[#This Row],[Colhida]]="x",tbPodasAtual[[#This Row],[Colheita]]-tbPodasAtual[[#This Row],[Poda]],TODAY()-tbPodasAtual[[#This Row],[Poda]]))</f>
        <v>75</v>
      </c>
      <c r="H10" s="34">
        <f>IF(ISBLANK(tbPodasAtual[[#This Row],[Poda]]),"",tbPodasAtual[[#This Row],[Poda]]+10)</f>
        <v>46095</v>
      </c>
      <c r="I10" s="34">
        <f>IF(ISBLANK(tbPodasAtual[[#This Row],[Poda]]),"",tbPodasAtual[[#This Row],[Poda]]+30)</f>
        <v>46115</v>
      </c>
      <c r="J10" s="34">
        <f>IF(ISBLANK(tbPodasAtual[[#This Row],[Poda]]),"",tbPodasAtual[[#This Row],[Poda]]+45)</f>
        <v>46130</v>
      </c>
      <c r="K10" s="35">
        <f>IF(tbPodasAtual[[#This Row],[Poda]]="","",tbPodasAtual[[#This Row],[Poda]]+110)</f>
        <v>46195</v>
      </c>
      <c r="L10" s="35"/>
      <c r="M10" s="36" t="str">
        <f t="shared" si="0"/>
        <v>o</v>
      </c>
    </row>
    <row r="11" spans="1:13" x14ac:dyDescent="0.25">
      <c r="B11" s="29">
        <v>5</v>
      </c>
      <c r="C11" s="30">
        <v>46085</v>
      </c>
      <c r="D11" s="31">
        <f>IF(ISBLANK(tbPodasAtual[[#This Row],[Poda]]),"",_xlfn.ISOWEEKNUM(tbPodasAtual[[#This Row],[Poda]]))</f>
        <v>10</v>
      </c>
      <c r="E11" s="32" t="s">
        <v>24</v>
      </c>
      <c r="F11" s="31" t="s">
        <v>25</v>
      </c>
      <c r="G11" s="33">
        <f ca="1">IF(tbPodasAtual[[#This Row],[Poda]]="","",IF(tbPodasAtual[[#This Row],[Colhida]]="x",tbPodasAtual[[#This Row],[Colheita]]-tbPodasAtual[[#This Row],[Poda]],TODAY()-tbPodasAtual[[#This Row],[Poda]]))</f>
        <v>75</v>
      </c>
      <c r="H11" s="34">
        <f>IF(ISBLANK(tbPodasAtual[[#This Row],[Poda]]),"",tbPodasAtual[[#This Row],[Poda]]+10)</f>
        <v>46095</v>
      </c>
      <c r="I11" s="34">
        <f>IF(ISBLANK(tbPodasAtual[[#This Row],[Poda]]),"",tbPodasAtual[[#This Row],[Poda]]+30)</f>
        <v>46115</v>
      </c>
      <c r="J11" s="34">
        <f>IF(ISBLANK(tbPodasAtual[[#This Row],[Poda]]),"",tbPodasAtual[[#This Row],[Poda]]+45)</f>
        <v>46130</v>
      </c>
      <c r="K11" s="35">
        <f>IF(tbPodasAtual[[#This Row],[Poda]]="","",tbPodasAtual[[#This Row],[Poda]]+110)</f>
        <v>46195</v>
      </c>
      <c r="L11" s="35"/>
      <c r="M11" s="36" t="str">
        <f t="shared" si="0"/>
        <v>o</v>
      </c>
    </row>
    <row r="12" spans="1:13" x14ac:dyDescent="0.25">
      <c r="B12" s="29">
        <v>6</v>
      </c>
      <c r="C12" s="30">
        <v>46092</v>
      </c>
      <c r="D12" s="31">
        <f>IF(ISBLANK(tbPodasAtual[[#This Row],[Poda]]),"",_xlfn.ISOWEEKNUM(tbPodasAtual[[#This Row],[Poda]]))</f>
        <v>11</v>
      </c>
      <c r="E12" s="32" t="s">
        <v>24</v>
      </c>
      <c r="F12" s="31" t="s">
        <v>25</v>
      </c>
      <c r="G12" s="33">
        <f ca="1">IF(tbPodasAtual[[#This Row],[Poda]]="","",IF(tbPodasAtual[[#This Row],[Colhida]]="x",tbPodasAtual[[#This Row],[Colheita]]-tbPodasAtual[[#This Row],[Poda]],TODAY()-tbPodasAtual[[#This Row],[Poda]]))</f>
        <v>68</v>
      </c>
      <c r="H12" s="34">
        <f>IF(ISBLANK(tbPodasAtual[[#This Row],[Poda]]),"",tbPodasAtual[[#This Row],[Poda]]+10)</f>
        <v>46102</v>
      </c>
      <c r="I12" s="34">
        <f>IF(ISBLANK(tbPodasAtual[[#This Row],[Poda]]),"",tbPodasAtual[[#This Row],[Poda]]+30)</f>
        <v>46122</v>
      </c>
      <c r="J12" s="34">
        <f>IF(ISBLANK(tbPodasAtual[[#This Row],[Poda]]),"",tbPodasAtual[[#This Row],[Poda]]+45)</f>
        <v>46137</v>
      </c>
      <c r="K12" s="35">
        <f>IF(tbPodasAtual[[#This Row],[Poda]]="","",tbPodasAtual[[#This Row],[Poda]]+110)</f>
        <v>46202</v>
      </c>
      <c r="L12" s="35"/>
      <c r="M12" s="36" t="str">
        <f t="shared" si="0"/>
        <v>o</v>
      </c>
    </row>
    <row r="13" spans="1:13" x14ac:dyDescent="0.25">
      <c r="B13" s="29">
        <v>7</v>
      </c>
      <c r="C13" s="30">
        <v>46092</v>
      </c>
      <c r="D13" s="31">
        <f>IF(ISBLANK(tbPodasAtual[[#This Row],[Poda]]),"",_xlfn.ISOWEEKNUM(tbPodasAtual[[#This Row],[Poda]]))</f>
        <v>11</v>
      </c>
      <c r="E13" s="32" t="s">
        <v>24</v>
      </c>
      <c r="F13" s="31" t="s">
        <v>25</v>
      </c>
      <c r="G13" s="33">
        <f ca="1">IF(tbPodasAtual[[#This Row],[Poda]]="","",IF(tbPodasAtual[[#This Row],[Colhida]]="x",tbPodasAtual[[#This Row],[Colheita]]-tbPodasAtual[[#This Row],[Poda]],TODAY()-tbPodasAtual[[#This Row],[Poda]]))</f>
        <v>68</v>
      </c>
      <c r="H13" s="34">
        <f>IF(ISBLANK(tbPodasAtual[[#This Row],[Poda]]),"",tbPodasAtual[[#This Row],[Poda]]+10)</f>
        <v>46102</v>
      </c>
      <c r="I13" s="34">
        <f>IF(ISBLANK(tbPodasAtual[[#This Row],[Poda]]),"",tbPodasAtual[[#This Row],[Poda]]+30)</f>
        <v>46122</v>
      </c>
      <c r="J13" s="34">
        <f>IF(ISBLANK(tbPodasAtual[[#This Row],[Poda]]),"",tbPodasAtual[[#This Row],[Poda]]+45)</f>
        <v>46137</v>
      </c>
      <c r="K13" s="35">
        <f>IF(tbPodasAtual[[#This Row],[Poda]]="","",tbPodasAtual[[#This Row],[Poda]]+110)</f>
        <v>46202</v>
      </c>
      <c r="L13" s="35"/>
      <c r="M13" s="36" t="str">
        <f t="shared" si="0"/>
        <v>o</v>
      </c>
    </row>
    <row r="14" spans="1:13" x14ac:dyDescent="0.25">
      <c r="B14" s="29">
        <v>8</v>
      </c>
      <c r="C14" s="30">
        <v>46092</v>
      </c>
      <c r="D14" s="31">
        <f>IF(ISBLANK(tbPodasAtual[[#This Row],[Poda]]),"",_xlfn.ISOWEEKNUM(tbPodasAtual[[#This Row],[Poda]]))</f>
        <v>11</v>
      </c>
      <c r="E14" s="32" t="s">
        <v>24</v>
      </c>
      <c r="F14" s="31" t="s">
        <v>25</v>
      </c>
      <c r="G14" s="33">
        <f ca="1">IF(tbPodasAtual[[#This Row],[Poda]]="","",IF(tbPodasAtual[[#This Row],[Colhida]]="x",tbPodasAtual[[#This Row],[Colheita]]-tbPodasAtual[[#This Row],[Poda]],TODAY()-tbPodasAtual[[#This Row],[Poda]]))</f>
        <v>68</v>
      </c>
      <c r="H14" s="34">
        <f>IF(ISBLANK(tbPodasAtual[[#This Row],[Poda]]),"",tbPodasAtual[[#This Row],[Poda]]+10)</f>
        <v>46102</v>
      </c>
      <c r="I14" s="34">
        <f>IF(ISBLANK(tbPodasAtual[[#This Row],[Poda]]),"",tbPodasAtual[[#This Row],[Poda]]+30)</f>
        <v>46122</v>
      </c>
      <c r="J14" s="34">
        <f>IF(ISBLANK(tbPodasAtual[[#This Row],[Poda]]),"",tbPodasAtual[[#This Row],[Poda]]+45)</f>
        <v>46137</v>
      </c>
      <c r="K14" s="35">
        <f>IF(tbPodasAtual[[#This Row],[Poda]]="","",tbPodasAtual[[#This Row],[Poda]]+110)</f>
        <v>46202</v>
      </c>
      <c r="L14" s="35"/>
      <c r="M14" s="36" t="str">
        <f t="shared" si="0"/>
        <v>o</v>
      </c>
    </row>
    <row r="15" spans="1:13" x14ac:dyDescent="0.25">
      <c r="B15" s="29">
        <v>9</v>
      </c>
      <c r="C15" s="30">
        <v>46106</v>
      </c>
      <c r="D15" s="31">
        <f>IF(ISBLANK(tbPodasAtual[[#This Row],[Poda]]),"",_xlfn.ISOWEEKNUM(tbPodasAtual[[#This Row],[Poda]]))</f>
        <v>13</v>
      </c>
      <c r="E15" s="32" t="s">
        <v>24</v>
      </c>
      <c r="F15" s="31" t="s">
        <v>25</v>
      </c>
      <c r="G15" s="33">
        <f ca="1">IF(tbPodasAtual[[#This Row],[Poda]]="","",IF(tbPodasAtual[[#This Row],[Colhida]]="x",tbPodasAtual[[#This Row],[Colheita]]-tbPodasAtual[[#This Row],[Poda]],TODAY()-tbPodasAtual[[#This Row],[Poda]]))</f>
        <v>54</v>
      </c>
      <c r="H15" s="34">
        <f>IF(ISBLANK(tbPodasAtual[[#This Row],[Poda]]),"",tbPodasAtual[[#This Row],[Poda]]+10)</f>
        <v>46116</v>
      </c>
      <c r="I15" s="34">
        <f>IF(ISBLANK(tbPodasAtual[[#This Row],[Poda]]),"",tbPodasAtual[[#This Row],[Poda]]+30)</f>
        <v>46136</v>
      </c>
      <c r="J15" s="34">
        <f>IF(ISBLANK(tbPodasAtual[[#This Row],[Poda]]),"",tbPodasAtual[[#This Row],[Poda]]+45)</f>
        <v>46151</v>
      </c>
      <c r="K15" s="35">
        <f>IF(tbPodasAtual[[#This Row],[Poda]]="","",tbPodasAtual[[#This Row],[Poda]]+110)</f>
        <v>46216</v>
      </c>
      <c r="L15" s="35"/>
      <c r="M15" s="36" t="str">
        <f t="shared" si="0"/>
        <v>o</v>
      </c>
    </row>
    <row r="16" spans="1:13" x14ac:dyDescent="0.25">
      <c r="B16" s="29">
        <v>10</v>
      </c>
      <c r="C16" s="30">
        <v>46106</v>
      </c>
      <c r="D16" s="31">
        <f>IF(ISBLANK(tbPodasAtual[[#This Row],[Poda]]),"",_xlfn.ISOWEEKNUM(tbPodasAtual[[#This Row],[Poda]]))</f>
        <v>13</v>
      </c>
      <c r="E16" s="32" t="s">
        <v>24</v>
      </c>
      <c r="F16" s="31" t="s">
        <v>25</v>
      </c>
      <c r="G16" s="33">
        <f ca="1">IF(tbPodasAtual[[#This Row],[Poda]]="","",IF(tbPodasAtual[[#This Row],[Colhida]]="x",tbPodasAtual[[#This Row],[Colheita]]-tbPodasAtual[[#This Row],[Poda]],TODAY()-tbPodasAtual[[#This Row],[Poda]]))</f>
        <v>54</v>
      </c>
      <c r="H16" s="34">
        <f>IF(ISBLANK(tbPodasAtual[[#This Row],[Poda]]),"",tbPodasAtual[[#This Row],[Poda]]+10)</f>
        <v>46116</v>
      </c>
      <c r="I16" s="34">
        <f>IF(ISBLANK(tbPodasAtual[[#This Row],[Poda]]),"",tbPodasAtual[[#This Row],[Poda]]+30)</f>
        <v>46136</v>
      </c>
      <c r="J16" s="34">
        <f>IF(ISBLANK(tbPodasAtual[[#This Row],[Poda]]),"",tbPodasAtual[[#This Row],[Poda]]+45)</f>
        <v>46151</v>
      </c>
      <c r="K16" s="35">
        <f>IF(tbPodasAtual[[#This Row],[Poda]]="","",tbPodasAtual[[#This Row],[Poda]]+110)</f>
        <v>46216</v>
      </c>
      <c r="L16" s="35"/>
      <c r="M16" s="36" t="str">
        <f t="shared" si="0"/>
        <v>o</v>
      </c>
    </row>
    <row r="17" spans="2:13" x14ac:dyDescent="0.25">
      <c r="B17" s="29">
        <v>11</v>
      </c>
      <c r="C17" s="30">
        <v>46106</v>
      </c>
      <c r="D17" s="31">
        <f>IF(ISBLANK(tbPodasAtual[[#This Row],[Poda]]),"",_xlfn.ISOWEEKNUM(tbPodasAtual[[#This Row],[Poda]]))</f>
        <v>13</v>
      </c>
      <c r="E17" s="32" t="s">
        <v>24</v>
      </c>
      <c r="F17" s="31" t="s">
        <v>25</v>
      </c>
      <c r="G17" s="33">
        <f ca="1">IF(tbPodasAtual[[#This Row],[Poda]]="","",IF(tbPodasAtual[[#This Row],[Colhida]]="x",tbPodasAtual[[#This Row],[Colheita]]-tbPodasAtual[[#This Row],[Poda]],TODAY()-tbPodasAtual[[#This Row],[Poda]]))</f>
        <v>54</v>
      </c>
      <c r="H17" s="34">
        <f>IF(ISBLANK(tbPodasAtual[[#This Row],[Poda]]),"",tbPodasAtual[[#This Row],[Poda]]+10)</f>
        <v>46116</v>
      </c>
      <c r="I17" s="34">
        <f>IF(ISBLANK(tbPodasAtual[[#This Row],[Poda]]),"",tbPodasAtual[[#This Row],[Poda]]+30)</f>
        <v>46136</v>
      </c>
      <c r="J17" s="34">
        <f>IF(ISBLANK(tbPodasAtual[[#This Row],[Poda]]),"",tbPodasAtual[[#This Row],[Poda]]+45)</f>
        <v>46151</v>
      </c>
      <c r="K17" s="35">
        <f>IF(tbPodasAtual[[#This Row],[Poda]]="","",tbPodasAtual[[#This Row],[Poda]]+110)</f>
        <v>46216</v>
      </c>
      <c r="L17" s="35"/>
      <c r="M17" s="36" t="str">
        <f t="shared" si="0"/>
        <v>o</v>
      </c>
    </row>
    <row r="18" spans="2:13" x14ac:dyDescent="0.25">
      <c r="B18" s="29">
        <v>12</v>
      </c>
      <c r="C18" s="30">
        <v>46113</v>
      </c>
      <c r="D18" s="31">
        <f>IF(ISBLANK(tbPodasAtual[[#This Row],[Poda]]),"",_xlfn.ISOWEEKNUM(tbPodasAtual[[#This Row],[Poda]]))</f>
        <v>14</v>
      </c>
      <c r="E18" s="32" t="s">
        <v>24</v>
      </c>
      <c r="F18" s="31" t="s">
        <v>25</v>
      </c>
      <c r="G18" s="33">
        <f ca="1">IF(tbPodasAtual[[#This Row],[Poda]]="","",IF(tbPodasAtual[[#This Row],[Colhida]]="x",tbPodasAtual[[#This Row],[Colheita]]-tbPodasAtual[[#This Row],[Poda]],TODAY()-tbPodasAtual[[#This Row],[Poda]]))</f>
        <v>47</v>
      </c>
      <c r="H18" s="34">
        <f>IF(ISBLANK(tbPodasAtual[[#This Row],[Poda]]),"",tbPodasAtual[[#This Row],[Poda]]+10)</f>
        <v>46123</v>
      </c>
      <c r="I18" s="34">
        <f>IF(ISBLANK(tbPodasAtual[[#This Row],[Poda]]),"",tbPodasAtual[[#This Row],[Poda]]+30)</f>
        <v>46143</v>
      </c>
      <c r="J18" s="34">
        <f>IF(ISBLANK(tbPodasAtual[[#This Row],[Poda]]),"",tbPodasAtual[[#This Row],[Poda]]+45)</f>
        <v>46158</v>
      </c>
      <c r="K18" s="35">
        <f>IF(tbPodasAtual[[#This Row],[Poda]]="","",tbPodasAtual[[#This Row],[Poda]]+110)</f>
        <v>46223</v>
      </c>
      <c r="L18" s="35"/>
      <c r="M18" s="36" t="str">
        <f t="shared" si="0"/>
        <v>o</v>
      </c>
    </row>
    <row r="19" spans="2:13" x14ac:dyDescent="0.25">
      <c r="B19" s="29">
        <v>13</v>
      </c>
      <c r="C19" s="30">
        <v>46113</v>
      </c>
      <c r="D19" s="31">
        <f>IF(ISBLANK(tbPodasAtual[[#This Row],[Poda]]),"",_xlfn.ISOWEEKNUM(tbPodasAtual[[#This Row],[Poda]]))</f>
        <v>14</v>
      </c>
      <c r="E19" s="32" t="s">
        <v>24</v>
      </c>
      <c r="F19" s="31" t="s">
        <v>25</v>
      </c>
      <c r="G19" s="33">
        <f ca="1">IF(tbPodasAtual[[#This Row],[Poda]]="","",IF(tbPodasAtual[[#This Row],[Colhida]]="x",tbPodasAtual[[#This Row],[Colheita]]-tbPodasAtual[[#This Row],[Poda]],TODAY()-tbPodasAtual[[#This Row],[Poda]]))</f>
        <v>47</v>
      </c>
      <c r="H19" s="34">
        <f>IF(ISBLANK(tbPodasAtual[[#This Row],[Poda]]),"",tbPodasAtual[[#This Row],[Poda]]+10)</f>
        <v>46123</v>
      </c>
      <c r="I19" s="34">
        <f>IF(ISBLANK(tbPodasAtual[[#This Row],[Poda]]),"",tbPodasAtual[[#This Row],[Poda]]+30)</f>
        <v>46143</v>
      </c>
      <c r="J19" s="34">
        <f>IF(ISBLANK(tbPodasAtual[[#This Row],[Poda]]),"",tbPodasAtual[[#This Row],[Poda]]+45)</f>
        <v>46158</v>
      </c>
      <c r="K19" s="35">
        <f>IF(tbPodasAtual[[#This Row],[Poda]]="","",tbPodasAtual[[#This Row],[Poda]]+110)</f>
        <v>46223</v>
      </c>
      <c r="L19" s="35"/>
      <c r="M19" s="36" t="str">
        <f t="shared" si="0"/>
        <v>o</v>
      </c>
    </row>
    <row r="20" spans="2:13" x14ac:dyDescent="0.25">
      <c r="B20" s="29">
        <v>14</v>
      </c>
      <c r="C20" s="30">
        <v>46113</v>
      </c>
      <c r="D20" s="31">
        <f>IF(ISBLANK(tbPodasAtual[[#This Row],[Poda]]),"",_xlfn.ISOWEEKNUM(tbPodasAtual[[#This Row],[Poda]]))</f>
        <v>14</v>
      </c>
      <c r="E20" s="32" t="s">
        <v>24</v>
      </c>
      <c r="F20" s="31" t="s">
        <v>25</v>
      </c>
      <c r="G20" s="33">
        <f ca="1">IF(tbPodasAtual[[#This Row],[Poda]]="","",IF(tbPodasAtual[[#This Row],[Colhida]]="x",tbPodasAtual[[#This Row],[Colheita]]-tbPodasAtual[[#This Row],[Poda]],TODAY()-tbPodasAtual[[#This Row],[Poda]]))</f>
        <v>47</v>
      </c>
      <c r="H20" s="34">
        <f>IF(ISBLANK(tbPodasAtual[[#This Row],[Poda]]),"",tbPodasAtual[[#This Row],[Poda]]+10)</f>
        <v>46123</v>
      </c>
      <c r="I20" s="34">
        <f>IF(ISBLANK(tbPodasAtual[[#This Row],[Poda]]),"",tbPodasAtual[[#This Row],[Poda]]+30)</f>
        <v>46143</v>
      </c>
      <c r="J20" s="34">
        <f>IF(ISBLANK(tbPodasAtual[[#This Row],[Poda]]),"",tbPodasAtual[[#This Row],[Poda]]+45)</f>
        <v>46158</v>
      </c>
      <c r="K20" s="35">
        <f>IF(tbPodasAtual[[#This Row],[Poda]]="","",tbPodasAtual[[#This Row],[Poda]]+110)</f>
        <v>46223</v>
      </c>
      <c r="L20" s="35"/>
      <c r="M20" s="36" t="str">
        <f t="shared" si="0"/>
        <v>o</v>
      </c>
    </row>
    <row r="21" spans="2:13" x14ac:dyDescent="0.25">
      <c r="B21" s="29">
        <v>15</v>
      </c>
      <c r="C21" s="30">
        <v>46120</v>
      </c>
      <c r="D21" s="31">
        <f>IF(ISBLANK(tbPodasAtual[[#This Row],[Poda]]),"",_xlfn.ISOWEEKNUM(tbPodasAtual[[#This Row],[Poda]]))</f>
        <v>15</v>
      </c>
      <c r="E21" s="32" t="s">
        <v>24</v>
      </c>
      <c r="F21" s="31" t="s">
        <v>25</v>
      </c>
      <c r="G21" s="33">
        <f ca="1">IF(tbPodasAtual[[#This Row],[Poda]]="","",IF(tbPodasAtual[[#This Row],[Colhida]]="x",tbPodasAtual[[#This Row],[Colheita]]-tbPodasAtual[[#This Row],[Poda]],TODAY()-tbPodasAtual[[#This Row],[Poda]]))</f>
        <v>40</v>
      </c>
      <c r="H21" s="34">
        <f>IF(ISBLANK(tbPodasAtual[[#This Row],[Poda]]),"",tbPodasAtual[[#This Row],[Poda]]+10)</f>
        <v>46130</v>
      </c>
      <c r="I21" s="34">
        <f>IF(ISBLANK(tbPodasAtual[[#This Row],[Poda]]),"",tbPodasAtual[[#This Row],[Poda]]+30)</f>
        <v>46150</v>
      </c>
      <c r="J21" s="34">
        <f>IF(ISBLANK(tbPodasAtual[[#This Row],[Poda]]),"",tbPodasAtual[[#This Row],[Poda]]+45)</f>
        <v>46165</v>
      </c>
      <c r="K21" s="35">
        <f>IF(tbPodasAtual[[#This Row],[Poda]]="","",tbPodasAtual[[#This Row],[Poda]]+110)</f>
        <v>46230</v>
      </c>
      <c r="L21" s="35"/>
      <c r="M21" s="36" t="str">
        <f t="shared" si="0"/>
        <v>o</v>
      </c>
    </row>
    <row r="22" spans="2:13" x14ac:dyDescent="0.25">
      <c r="B22" s="29">
        <v>16</v>
      </c>
      <c r="C22" s="30">
        <v>46120</v>
      </c>
      <c r="D22" s="31">
        <f>IF(ISBLANK(tbPodasAtual[[#This Row],[Poda]]),"",_xlfn.ISOWEEKNUM(tbPodasAtual[[#This Row],[Poda]]))</f>
        <v>15</v>
      </c>
      <c r="E22" s="32" t="s">
        <v>24</v>
      </c>
      <c r="F22" s="31" t="s">
        <v>25</v>
      </c>
      <c r="G22" s="33">
        <f ca="1">IF(tbPodasAtual[[#This Row],[Poda]]="","",IF(tbPodasAtual[[#This Row],[Colhida]]="x",tbPodasAtual[[#This Row],[Colheita]]-tbPodasAtual[[#This Row],[Poda]],TODAY()-tbPodasAtual[[#This Row],[Poda]]))</f>
        <v>40</v>
      </c>
      <c r="H22" s="34">
        <f>IF(ISBLANK(tbPodasAtual[[#This Row],[Poda]]),"",tbPodasAtual[[#This Row],[Poda]]+10)</f>
        <v>46130</v>
      </c>
      <c r="I22" s="34">
        <f>IF(ISBLANK(tbPodasAtual[[#This Row],[Poda]]),"",tbPodasAtual[[#This Row],[Poda]]+30)</f>
        <v>46150</v>
      </c>
      <c r="J22" s="34">
        <f>IF(ISBLANK(tbPodasAtual[[#This Row],[Poda]]),"",tbPodasAtual[[#This Row],[Poda]]+45)</f>
        <v>46165</v>
      </c>
      <c r="K22" s="35">
        <f>IF(tbPodasAtual[[#This Row],[Poda]]="","",tbPodasAtual[[#This Row],[Poda]]+110)</f>
        <v>46230</v>
      </c>
      <c r="L22" s="35"/>
      <c r="M22" s="36" t="str">
        <f t="shared" si="0"/>
        <v>o</v>
      </c>
    </row>
    <row r="23" spans="2:13" x14ac:dyDescent="0.25">
      <c r="B23" s="29">
        <v>17</v>
      </c>
      <c r="C23" s="30">
        <v>46120</v>
      </c>
      <c r="D23" s="31">
        <f>IF(ISBLANK(tbPodasAtual[[#This Row],[Poda]]),"",_xlfn.ISOWEEKNUM(tbPodasAtual[[#This Row],[Poda]]))</f>
        <v>15</v>
      </c>
      <c r="E23" s="32" t="s">
        <v>24</v>
      </c>
      <c r="F23" s="31" t="s">
        <v>25</v>
      </c>
      <c r="G23" s="33">
        <f ca="1">IF(tbPodasAtual[[#This Row],[Poda]]="","",IF(tbPodasAtual[[#This Row],[Colhida]]="x",tbPodasAtual[[#This Row],[Colheita]]-tbPodasAtual[[#This Row],[Poda]],TODAY()-tbPodasAtual[[#This Row],[Poda]]))</f>
        <v>40</v>
      </c>
      <c r="H23" s="34">
        <f>IF(ISBLANK(tbPodasAtual[[#This Row],[Poda]]),"",tbPodasAtual[[#This Row],[Poda]]+10)</f>
        <v>46130</v>
      </c>
      <c r="I23" s="34">
        <f>IF(ISBLANK(tbPodasAtual[[#This Row],[Poda]]),"",tbPodasAtual[[#This Row],[Poda]]+30)</f>
        <v>46150</v>
      </c>
      <c r="J23" s="34">
        <f>IF(ISBLANK(tbPodasAtual[[#This Row],[Poda]]),"",tbPodasAtual[[#This Row],[Poda]]+45)</f>
        <v>46165</v>
      </c>
      <c r="K23" s="35">
        <f>IF(tbPodasAtual[[#This Row],[Poda]]="","",tbPodasAtual[[#This Row],[Poda]]+110)</f>
        <v>46230</v>
      </c>
      <c r="L23" s="35"/>
      <c r="M23" s="36" t="str">
        <f t="shared" si="0"/>
        <v>o</v>
      </c>
    </row>
    <row r="24" spans="2:13" x14ac:dyDescent="0.25">
      <c r="B24" s="29">
        <v>18</v>
      </c>
      <c r="C24" s="30">
        <v>46127</v>
      </c>
      <c r="D24" s="31">
        <f>IF(ISBLANK(tbPodasAtual[[#This Row],[Poda]]),"",_xlfn.ISOWEEKNUM(tbPodasAtual[[#This Row],[Poda]]))</f>
        <v>16</v>
      </c>
      <c r="E24" s="32" t="s">
        <v>24</v>
      </c>
      <c r="F24" s="31" t="s">
        <v>25</v>
      </c>
      <c r="G24" s="33">
        <f ca="1">IF(tbPodasAtual[[#This Row],[Poda]]="","",IF(tbPodasAtual[[#This Row],[Colhida]]="x",tbPodasAtual[[#This Row],[Colheita]]-tbPodasAtual[[#This Row],[Poda]],TODAY()-tbPodasAtual[[#This Row],[Poda]]))</f>
        <v>33</v>
      </c>
      <c r="H24" s="34">
        <f>IF(ISBLANK(tbPodasAtual[[#This Row],[Poda]]),"",tbPodasAtual[[#This Row],[Poda]]+10)</f>
        <v>46137</v>
      </c>
      <c r="I24" s="34">
        <f>IF(ISBLANK(tbPodasAtual[[#This Row],[Poda]]),"",tbPodasAtual[[#This Row],[Poda]]+30)</f>
        <v>46157</v>
      </c>
      <c r="J24" s="34">
        <f>IF(ISBLANK(tbPodasAtual[[#This Row],[Poda]]),"",tbPodasAtual[[#This Row],[Poda]]+45)</f>
        <v>46172</v>
      </c>
      <c r="K24" s="35">
        <f>IF(tbPodasAtual[[#This Row],[Poda]]="","",tbPodasAtual[[#This Row],[Poda]]+110)</f>
        <v>46237</v>
      </c>
      <c r="L24" s="35"/>
      <c r="M24" s="36" t="str">
        <f t="shared" si="0"/>
        <v>o</v>
      </c>
    </row>
    <row r="25" spans="2:13" x14ac:dyDescent="0.25">
      <c r="B25" s="29">
        <v>19</v>
      </c>
      <c r="C25" s="30">
        <v>46127</v>
      </c>
      <c r="D25" s="31">
        <f>IF(ISBLANK(tbPodasAtual[[#This Row],[Poda]]),"",_xlfn.ISOWEEKNUM(tbPodasAtual[[#This Row],[Poda]]))</f>
        <v>16</v>
      </c>
      <c r="E25" s="32" t="s">
        <v>24</v>
      </c>
      <c r="F25" s="31" t="s">
        <v>25</v>
      </c>
      <c r="G25" s="33">
        <f ca="1">IF(tbPodasAtual[[#This Row],[Poda]]="","",IF(tbPodasAtual[[#This Row],[Colhida]]="x",tbPodasAtual[[#This Row],[Colheita]]-tbPodasAtual[[#This Row],[Poda]],TODAY()-tbPodasAtual[[#This Row],[Poda]]))</f>
        <v>33</v>
      </c>
      <c r="H25" s="34">
        <f>IF(ISBLANK(tbPodasAtual[[#This Row],[Poda]]),"",tbPodasAtual[[#This Row],[Poda]]+10)</f>
        <v>46137</v>
      </c>
      <c r="I25" s="34">
        <f>IF(ISBLANK(tbPodasAtual[[#This Row],[Poda]]),"",tbPodasAtual[[#This Row],[Poda]]+30)</f>
        <v>46157</v>
      </c>
      <c r="J25" s="34">
        <f>IF(ISBLANK(tbPodasAtual[[#This Row],[Poda]]),"",tbPodasAtual[[#This Row],[Poda]]+45)</f>
        <v>46172</v>
      </c>
      <c r="K25" s="35">
        <f>IF(tbPodasAtual[[#This Row],[Poda]]="","",tbPodasAtual[[#This Row],[Poda]]+110)</f>
        <v>46237</v>
      </c>
      <c r="L25" s="35"/>
      <c r="M25" s="36" t="str">
        <f t="shared" si="0"/>
        <v>o</v>
      </c>
    </row>
    <row r="26" spans="2:13" x14ac:dyDescent="0.25">
      <c r="B26" s="29">
        <v>20</v>
      </c>
      <c r="C26" s="30">
        <v>46127</v>
      </c>
      <c r="D26" s="31">
        <f>IF(ISBLANK(tbPodasAtual[[#This Row],[Poda]]),"",_xlfn.ISOWEEKNUM(tbPodasAtual[[#This Row],[Poda]]))</f>
        <v>16</v>
      </c>
      <c r="E26" s="32" t="s">
        <v>24</v>
      </c>
      <c r="F26" s="31" t="s">
        <v>25</v>
      </c>
      <c r="G26" s="33">
        <f ca="1">IF(tbPodasAtual[[#This Row],[Poda]]="","",IF(tbPodasAtual[[#This Row],[Colhida]]="x",tbPodasAtual[[#This Row],[Colheita]]-tbPodasAtual[[#This Row],[Poda]],TODAY()-tbPodasAtual[[#This Row],[Poda]]))</f>
        <v>33</v>
      </c>
      <c r="H26" s="34">
        <f>IF(ISBLANK(tbPodasAtual[[#This Row],[Poda]]),"",tbPodasAtual[[#This Row],[Poda]]+10)</f>
        <v>46137</v>
      </c>
      <c r="I26" s="34">
        <f>IF(ISBLANK(tbPodasAtual[[#This Row],[Poda]]),"",tbPodasAtual[[#This Row],[Poda]]+30)</f>
        <v>46157</v>
      </c>
      <c r="J26" s="34">
        <f>IF(ISBLANK(tbPodasAtual[[#This Row],[Poda]]),"",tbPodasAtual[[#This Row],[Poda]]+45)</f>
        <v>46172</v>
      </c>
      <c r="K26" s="35">
        <f>IF(tbPodasAtual[[#This Row],[Poda]]="","",tbPodasAtual[[#This Row],[Poda]]+110)</f>
        <v>46237</v>
      </c>
      <c r="L26" s="35"/>
      <c r="M26" s="36" t="s">
        <v>26</v>
      </c>
    </row>
    <row r="27" spans="2:13" x14ac:dyDescent="0.25">
      <c r="B27" s="29">
        <v>21</v>
      </c>
      <c r="C27" s="30">
        <v>46134</v>
      </c>
      <c r="D27" s="31">
        <f>IF(ISBLANK(tbPodasAtual[[#This Row],[Poda]]),"",_xlfn.ISOWEEKNUM(tbPodasAtual[[#This Row],[Poda]]))</f>
        <v>17</v>
      </c>
      <c r="E27" s="32" t="s">
        <v>27</v>
      </c>
      <c r="F27" s="31" t="s">
        <v>25</v>
      </c>
      <c r="G27" s="33">
        <f ca="1">IF(tbPodasAtual[[#This Row],[Poda]]="","",IF(tbPodasAtual[[#This Row],[Colhida]]="x",tbPodasAtual[[#This Row],[Colheita]]-tbPodasAtual[[#This Row],[Poda]],TODAY()-tbPodasAtual[[#This Row],[Poda]]))</f>
        <v>26</v>
      </c>
      <c r="H27" s="34">
        <f>IF(ISBLANK(tbPodasAtual[[#This Row],[Poda]]),"",tbPodasAtual[[#This Row],[Poda]]+10)</f>
        <v>46144</v>
      </c>
      <c r="I27" s="34">
        <f>IF(ISBLANK(tbPodasAtual[[#This Row],[Poda]]),"",tbPodasAtual[[#This Row],[Poda]]+30)</f>
        <v>46164</v>
      </c>
      <c r="J27" s="34">
        <f>IF(ISBLANK(tbPodasAtual[[#This Row],[Poda]]),"",tbPodasAtual[[#This Row],[Poda]]+45)</f>
        <v>46179</v>
      </c>
      <c r="K27" s="35">
        <f>IF(tbPodasAtual[[#This Row],[Poda]]="","",tbPodasAtual[[#This Row],[Poda]]+110)</f>
        <v>46244</v>
      </c>
      <c r="L27" s="35"/>
      <c r="M27" s="36" t="s">
        <v>26</v>
      </c>
    </row>
    <row r="28" spans="2:13" x14ac:dyDescent="0.25">
      <c r="B28" s="29">
        <v>22</v>
      </c>
      <c r="C28" s="30">
        <v>46134</v>
      </c>
      <c r="D28" s="31">
        <f>IF(ISBLANK(tbPodasAtual[[#This Row],[Poda]]),"",_xlfn.ISOWEEKNUM(tbPodasAtual[[#This Row],[Poda]]))</f>
        <v>17</v>
      </c>
      <c r="E28" s="32" t="s">
        <v>27</v>
      </c>
      <c r="F28" s="31" t="s">
        <v>25</v>
      </c>
      <c r="G28" s="33">
        <f ca="1">IF(tbPodasAtual[[#This Row],[Poda]]="","",IF(tbPodasAtual[[#This Row],[Colhida]]="x",tbPodasAtual[[#This Row],[Colheita]]-tbPodasAtual[[#This Row],[Poda]],TODAY()-tbPodasAtual[[#This Row],[Poda]]))</f>
        <v>26</v>
      </c>
      <c r="H28" s="34">
        <f>IF(ISBLANK(tbPodasAtual[[#This Row],[Poda]]),"",tbPodasAtual[[#This Row],[Poda]]+10)</f>
        <v>46144</v>
      </c>
      <c r="I28" s="34">
        <f>IF(ISBLANK(tbPodasAtual[[#This Row],[Poda]]),"",tbPodasAtual[[#This Row],[Poda]]+30)</f>
        <v>46164</v>
      </c>
      <c r="J28" s="34">
        <f>IF(ISBLANK(tbPodasAtual[[#This Row],[Poda]]),"",tbPodasAtual[[#This Row],[Poda]]+45)</f>
        <v>46179</v>
      </c>
      <c r="K28" s="35">
        <f>IF(tbPodasAtual[[#This Row],[Poda]]="","",tbPodasAtual[[#This Row],[Poda]]+110)</f>
        <v>46244</v>
      </c>
      <c r="L28" s="35"/>
      <c r="M28" s="36" t="s">
        <v>26</v>
      </c>
    </row>
    <row r="29" spans="2:13" x14ac:dyDescent="0.25">
      <c r="B29" s="29">
        <v>23</v>
      </c>
      <c r="C29" s="30">
        <v>46134</v>
      </c>
      <c r="D29" s="31">
        <f>IF(ISBLANK(tbPodasAtual[[#This Row],[Poda]]),"",_xlfn.ISOWEEKNUM(tbPodasAtual[[#This Row],[Poda]]))</f>
        <v>17</v>
      </c>
      <c r="E29" s="32" t="s">
        <v>27</v>
      </c>
      <c r="F29" s="31" t="s">
        <v>25</v>
      </c>
      <c r="G29" s="33">
        <f ca="1">IF(tbPodasAtual[[#This Row],[Poda]]="","",IF(tbPodasAtual[[#This Row],[Colhida]]="x",tbPodasAtual[[#This Row],[Colheita]]-tbPodasAtual[[#This Row],[Poda]],TODAY()-tbPodasAtual[[#This Row],[Poda]]))</f>
        <v>26</v>
      </c>
      <c r="H29" s="34">
        <f>IF(ISBLANK(tbPodasAtual[[#This Row],[Poda]]),"",tbPodasAtual[[#This Row],[Poda]]+10)</f>
        <v>46144</v>
      </c>
      <c r="I29" s="34">
        <f>IF(ISBLANK(tbPodasAtual[[#This Row],[Poda]]),"",tbPodasAtual[[#This Row],[Poda]]+30)</f>
        <v>46164</v>
      </c>
      <c r="J29" s="34">
        <f>IF(ISBLANK(tbPodasAtual[[#This Row],[Poda]]),"",tbPodasAtual[[#This Row],[Poda]]+45)</f>
        <v>46179</v>
      </c>
      <c r="K29" s="35">
        <f>IF(tbPodasAtual[[#This Row],[Poda]]="","",tbPodasAtual[[#This Row],[Poda]]+110)</f>
        <v>46244</v>
      </c>
      <c r="L29" s="35"/>
      <c r="M29" s="36" t="s">
        <v>26</v>
      </c>
    </row>
    <row r="30" spans="2:13" x14ac:dyDescent="0.25">
      <c r="B30" s="29">
        <v>24</v>
      </c>
      <c r="C30" s="30">
        <v>46141</v>
      </c>
      <c r="D30" s="31">
        <f>IF(ISBLANK(tbPodasAtual[[#This Row],[Poda]]),"",_xlfn.ISOWEEKNUM(tbPodasAtual[[#This Row],[Poda]]))</f>
        <v>18</v>
      </c>
      <c r="E30" s="32" t="s">
        <v>27</v>
      </c>
      <c r="F30" s="31" t="s">
        <v>25</v>
      </c>
      <c r="G30" s="33">
        <f ca="1">IF(tbPodasAtual[[#This Row],[Poda]]="","",IF(tbPodasAtual[[#This Row],[Colhida]]="x",tbPodasAtual[[#This Row],[Colheita]]-tbPodasAtual[[#This Row],[Poda]],TODAY()-tbPodasAtual[[#This Row],[Poda]]))</f>
        <v>19</v>
      </c>
      <c r="H30" s="34">
        <f>IF(ISBLANK(tbPodasAtual[[#This Row],[Poda]]),"",tbPodasAtual[[#This Row],[Poda]]+10)</f>
        <v>46151</v>
      </c>
      <c r="I30" s="34">
        <f>IF(ISBLANK(tbPodasAtual[[#This Row],[Poda]]),"",tbPodasAtual[[#This Row],[Poda]]+30)</f>
        <v>46171</v>
      </c>
      <c r="J30" s="34">
        <f>IF(ISBLANK(tbPodasAtual[[#This Row],[Poda]]),"",tbPodasAtual[[#This Row],[Poda]]+45)</f>
        <v>46186</v>
      </c>
      <c r="K30" s="35">
        <f>IF(tbPodasAtual[[#This Row],[Poda]]="","",tbPodasAtual[[#This Row],[Poda]]+110)</f>
        <v>46251</v>
      </c>
      <c r="L30" s="35"/>
      <c r="M30" s="36" t="s">
        <v>26</v>
      </c>
    </row>
    <row r="31" spans="2:13" x14ac:dyDescent="0.25">
      <c r="B31" s="29">
        <v>25</v>
      </c>
      <c r="C31" s="30">
        <v>46141</v>
      </c>
      <c r="D31" s="31">
        <f>IF(ISBLANK(tbPodasAtual[[#This Row],[Poda]]),"",_xlfn.ISOWEEKNUM(tbPodasAtual[[#This Row],[Poda]]))</f>
        <v>18</v>
      </c>
      <c r="E31" s="32" t="s">
        <v>27</v>
      </c>
      <c r="F31" s="31" t="s">
        <v>25</v>
      </c>
      <c r="G31" s="33">
        <f ca="1">IF(tbPodasAtual[[#This Row],[Poda]]="","",IF(tbPodasAtual[[#This Row],[Colhida]]="x",tbPodasAtual[[#This Row],[Colheita]]-tbPodasAtual[[#This Row],[Poda]],TODAY()-tbPodasAtual[[#This Row],[Poda]]))</f>
        <v>19</v>
      </c>
      <c r="H31" s="34">
        <f>IF(ISBLANK(tbPodasAtual[[#This Row],[Poda]]),"",tbPodasAtual[[#This Row],[Poda]]+10)</f>
        <v>46151</v>
      </c>
      <c r="I31" s="34">
        <f>IF(ISBLANK(tbPodasAtual[[#This Row],[Poda]]),"",tbPodasAtual[[#This Row],[Poda]]+30)</f>
        <v>46171</v>
      </c>
      <c r="J31" s="34">
        <f>IF(ISBLANK(tbPodasAtual[[#This Row],[Poda]]),"",tbPodasAtual[[#This Row],[Poda]]+45)</f>
        <v>46186</v>
      </c>
      <c r="K31" s="35">
        <f>IF(tbPodasAtual[[#This Row],[Poda]]="","",tbPodasAtual[[#This Row],[Poda]]+110)</f>
        <v>46251</v>
      </c>
      <c r="L31" s="35"/>
      <c r="M31" s="36" t="s">
        <v>26</v>
      </c>
    </row>
    <row r="32" spans="2:13" x14ac:dyDescent="0.25">
      <c r="B32" s="29">
        <v>26</v>
      </c>
      <c r="C32" s="30">
        <v>46155</v>
      </c>
      <c r="D32" s="31">
        <f>IF(ISBLANK(tbPodasAtual[[#This Row],[Poda]]),"",_xlfn.ISOWEEKNUM(tbPodasAtual[[#This Row],[Poda]]))</f>
        <v>20</v>
      </c>
      <c r="E32" s="32" t="s">
        <v>27</v>
      </c>
      <c r="F32" s="31" t="s">
        <v>25</v>
      </c>
      <c r="G32" s="33">
        <f ca="1">IF(tbPodasAtual[[#This Row],[Poda]]="","",IF(tbPodasAtual[[#This Row],[Colhida]]="x",tbPodasAtual[[#This Row],[Colheita]]-tbPodasAtual[[#This Row],[Poda]],TODAY()-tbPodasAtual[[#This Row],[Poda]]))</f>
        <v>5</v>
      </c>
      <c r="H32" s="34">
        <f>IF(ISBLANK(tbPodasAtual[[#This Row],[Poda]]),"",tbPodasAtual[[#This Row],[Poda]]+10)</f>
        <v>46165</v>
      </c>
      <c r="I32" s="34">
        <f>IF(ISBLANK(tbPodasAtual[[#This Row],[Poda]]),"",tbPodasAtual[[#This Row],[Poda]]+30)</f>
        <v>46185</v>
      </c>
      <c r="J32" s="34">
        <f>IF(ISBLANK(tbPodasAtual[[#This Row],[Poda]]),"",tbPodasAtual[[#This Row],[Poda]]+45)</f>
        <v>46200</v>
      </c>
      <c r="K32" s="35">
        <f>IF(tbPodasAtual[[#This Row],[Poda]]="","",tbPodasAtual[[#This Row],[Poda]]+110)</f>
        <v>46265</v>
      </c>
      <c r="L32" s="35"/>
      <c r="M32" s="36" t="s">
        <v>26</v>
      </c>
    </row>
    <row r="33" spans="2:13" x14ac:dyDescent="0.25">
      <c r="B33" s="29">
        <v>27</v>
      </c>
      <c r="C33" s="30">
        <v>46155</v>
      </c>
      <c r="D33" s="31">
        <f>IF(ISBLANK(tbPodasAtual[[#This Row],[Poda]]),"",_xlfn.ISOWEEKNUM(tbPodasAtual[[#This Row],[Poda]]))</f>
        <v>20</v>
      </c>
      <c r="E33" s="32" t="s">
        <v>27</v>
      </c>
      <c r="F33" s="31" t="s">
        <v>25</v>
      </c>
      <c r="G33" s="33">
        <f ca="1">IF(tbPodasAtual[[#This Row],[Poda]]="","",IF(tbPodasAtual[[#This Row],[Colhida]]="x",tbPodasAtual[[#This Row],[Colheita]]-tbPodasAtual[[#This Row],[Poda]],TODAY()-tbPodasAtual[[#This Row],[Poda]]))</f>
        <v>5</v>
      </c>
      <c r="H33" s="34">
        <f>IF(ISBLANK(tbPodasAtual[[#This Row],[Poda]]),"",tbPodasAtual[[#This Row],[Poda]]+10)</f>
        <v>46165</v>
      </c>
      <c r="I33" s="34">
        <f>IF(ISBLANK(tbPodasAtual[[#This Row],[Poda]]),"",tbPodasAtual[[#This Row],[Poda]]+30)</f>
        <v>46185</v>
      </c>
      <c r="J33" s="34">
        <f>IF(ISBLANK(tbPodasAtual[[#This Row],[Poda]]),"",tbPodasAtual[[#This Row],[Poda]]+45)</f>
        <v>46200</v>
      </c>
      <c r="K33" s="35">
        <f>IF(tbPodasAtual[[#This Row],[Poda]]="","",tbPodasAtual[[#This Row],[Poda]]+110)</f>
        <v>46265</v>
      </c>
      <c r="L33" s="35"/>
      <c r="M33" s="36" t="s">
        <v>26</v>
      </c>
    </row>
    <row r="34" spans="2:13" x14ac:dyDescent="0.25">
      <c r="B34" s="29">
        <v>28</v>
      </c>
      <c r="C34" s="30">
        <v>46041</v>
      </c>
      <c r="D34" s="31">
        <f>IF(ISBLANK(tbPodasAtual[[#This Row],[Poda]]),"",_xlfn.ISOWEEKNUM(tbPodasAtual[[#This Row],[Poda]]))</f>
        <v>4</v>
      </c>
      <c r="E34" s="32" t="s">
        <v>27</v>
      </c>
      <c r="F34" s="31" t="s">
        <v>25</v>
      </c>
      <c r="G34" s="33">
        <f ca="1">IF(tbPodasAtual[[#This Row],[Poda]]="","",IF(tbPodasAtual[[#This Row],[Colhida]]="x",tbPodasAtual[[#This Row],[Colheita]]-tbPodasAtual[[#This Row],[Poda]],TODAY()-tbPodasAtual[[#This Row],[Poda]]))</f>
        <v>119</v>
      </c>
      <c r="H34" s="34">
        <f>IF(ISBLANK(tbPodasAtual[[#This Row],[Poda]]),"",tbPodasAtual[[#This Row],[Poda]]+10)</f>
        <v>46051</v>
      </c>
      <c r="I34" s="34">
        <f>IF(ISBLANK(tbPodasAtual[[#This Row],[Poda]]),"",tbPodasAtual[[#This Row],[Poda]]+30)</f>
        <v>46071</v>
      </c>
      <c r="J34" s="34">
        <f>IF(ISBLANK(tbPodasAtual[[#This Row],[Poda]]),"",tbPodasAtual[[#This Row],[Poda]]+45)</f>
        <v>46086</v>
      </c>
      <c r="K34" s="35">
        <f>IF(tbPodasAtual[[#This Row],[Poda]]="","",tbPodasAtual[[#This Row],[Poda]]+110)</f>
        <v>46151</v>
      </c>
      <c r="L34" s="35"/>
      <c r="M34" s="36" t="s">
        <v>26</v>
      </c>
    </row>
    <row r="35" spans="2:13" x14ac:dyDescent="0.25">
      <c r="B35" s="29">
        <v>29</v>
      </c>
      <c r="C35" s="30">
        <v>46041</v>
      </c>
      <c r="D35" s="31">
        <f>IF(ISBLANK(tbPodasAtual[[#This Row],[Poda]]),"",_xlfn.ISOWEEKNUM(tbPodasAtual[[#This Row],[Poda]]))</f>
        <v>4</v>
      </c>
      <c r="E35" s="32" t="s">
        <v>27</v>
      </c>
      <c r="F35" s="31" t="s">
        <v>25</v>
      </c>
      <c r="G35" s="33">
        <f ca="1">IF(tbPodasAtual[[#This Row],[Poda]]="","",IF(tbPodasAtual[[#This Row],[Colhida]]="x",tbPodasAtual[[#This Row],[Colheita]]-tbPodasAtual[[#This Row],[Poda]],TODAY()-tbPodasAtual[[#This Row],[Poda]]))</f>
        <v>119</v>
      </c>
      <c r="H35" s="34">
        <f>IF(ISBLANK(tbPodasAtual[[#This Row],[Poda]]),"",tbPodasAtual[[#This Row],[Poda]]+10)</f>
        <v>46051</v>
      </c>
      <c r="I35" s="34">
        <f>IF(ISBLANK(tbPodasAtual[[#This Row],[Poda]]),"",tbPodasAtual[[#This Row],[Poda]]+30)</f>
        <v>46071</v>
      </c>
      <c r="J35" s="34">
        <f>IF(ISBLANK(tbPodasAtual[[#This Row],[Poda]]),"",tbPodasAtual[[#This Row],[Poda]]+45)</f>
        <v>46086</v>
      </c>
      <c r="K35" s="35">
        <f>IF(tbPodasAtual[[#This Row],[Poda]]="","",tbPodasAtual[[#This Row],[Poda]]+110)</f>
        <v>46151</v>
      </c>
      <c r="L35" s="35"/>
      <c r="M35" s="36" t="s">
        <v>26</v>
      </c>
    </row>
    <row r="36" spans="2:13" x14ac:dyDescent="0.25">
      <c r="B36" s="29">
        <v>30</v>
      </c>
      <c r="C36" s="30">
        <v>46041</v>
      </c>
      <c r="D36" s="31">
        <f>IF(ISBLANK(tbPodasAtual[[#This Row],[Poda]]),"",_xlfn.ISOWEEKNUM(tbPodasAtual[[#This Row],[Poda]]))</f>
        <v>4</v>
      </c>
      <c r="E36" s="32" t="s">
        <v>27</v>
      </c>
      <c r="F36" s="31" t="s">
        <v>25</v>
      </c>
      <c r="G36" s="33">
        <f ca="1">IF(tbPodasAtual[[#This Row],[Poda]]="","",IF(tbPodasAtual[[#This Row],[Colhida]]="x",tbPodasAtual[[#This Row],[Colheita]]-tbPodasAtual[[#This Row],[Poda]],TODAY()-tbPodasAtual[[#This Row],[Poda]]))</f>
        <v>119</v>
      </c>
      <c r="H36" s="34">
        <f>IF(ISBLANK(tbPodasAtual[[#This Row],[Poda]]),"",tbPodasAtual[[#This Row],[Poda]]+10)</f>
        <v>46051</v>
      </c>
      <c r="I36" s="34">
        <f>IF(ISBLANK(tbPodasAtual[[#This Row],[Poda]]),"",tbPodasAtual[[#This Row],[Poda]]+30)</f>
        <v>46071</v>
      </c>
      <c r="J36" s="34">
        <f>IF(ISBLANK(tbPodasAtual[[#This Row],[Poda]]),"",tbPodasAtual[[#This Row],[Poda]]+45)</f>
        <v>46086</v>
      </c>
      <c r="K36" s="35">
        <f>IF(tbPodasAtual[[#This Row],[Poda]]="","",tbPodasAtual[[#This Row],[Poda]]+110)</f>
        <v>46151</v>
      </c>
      <c r="L36" s="35"/>
      <c r="M36" s="36" t="s">
        <v>26</v>
      </c>
    </row>
    <row r="37" spans="2:13" x14ac:dyDescent="0.25">
      <c r="B37" s="29">
        <v>31</v>
      </c>
      <c r="C37" s="30">
        <v>46041</v>
      </c>
      <c r="D37" s="31">
        <f>IF(ISBLANK(tbPodasAtual[[#This Row],[Poda]]),"",_xlfn.ISOWEEKNUM(tbPodasAtual[[#This Row],[Poda]]))</f>
        <v>4</v>
      </c>
      <c r="E37" s="32" t="s">
        <v>27</v>
      </c>
      <c r="F37" s="31" t="s">
        <v>25</v>
      </c>
      <c r="G37" s="33">
        <f ca="1">IF(tbPodasAtual[[#This Row],[Poda]]="","",IF(tbPodasAtual[[#This Row],[Colhida]]="x",tbPodasAtual[[#This Row],[Colheita]]-tbPodasAtual[[#This Row],[Poda]],TODAY()-tbPodasAtual[[#This Row],[Poda]]))</f>
        <v>119</v>
      </c>
      <c r="H37" s="34">
        <f>IF(ISBLANK(tbPodasAtual[[#This Row],[Poda]]),"",tbPodasAtual[[#This Row],[Poda]]+10)</f>
        <v>46051</v>
      </c>
      <c r="I37" s="34">
        <f>IF(ISBLANK(tbPodasAtual[[#This Row],[Poda]]),"",tbPodasAtual[[#This Row],[Poda]]+30)</f>
        <v>46071</v>
      </c>
      <c r="J37" s="34">
        <f>IF(ISBLANK(tbPodasAtual[[#This Row],[Poda]]),"",tbPodasAtual[[#This Row],[Poda]]+45)</f>
        <v>46086</v>
      </c>
      <c r="K37" s="35">
        <f>IF(tbPodasAtual[[#This Row],[Poda]]="","",tbPodasAtual[[#This Row],[Poda]]+110)</f>
        <v>46151</v>
      </c>
      <c r="L37" s="35"/>
      <c r="M37" s="36" t="s">
        <v>26</v>
      </c>
    </row>
    <row r="38" spans="2:13" x14ac:dyDescent="0.25">
      <c r="B38" s="29">
        <v>32</v>
      </c>
      <c r="C38" s="30">
        <v>46041</v>
      </c>
      <c r="D38" s="31">
        <f>IF(ISBLANK(tbPodasAtual[[#This Row],[Poda]]),"",_xlfn.ISOWEEKNUM(tbPodasAtual[[#This Row],[Poda]]))</f>
        <v>4</v>
      </c>
      <c r="E38" s="32" t="s">
        <v>27</v>
      </c>
      <c r="F38" s="31" t="s">
        <v>25</v>
      </c>
      <c r="G38" s="33">
        <f ca="1">IF(tbPodasAtual[[#This Row],[Poda]]="","",IF(tbPodasAtual[[#This Row],[Colhida]]="x",tbPodasAtual[[#This Row],[Colheita]]-tbPodasAtual[[#This Row],[Poda]],TODAY()-tbPodasAtual[[#This Row],[Poda]]))</f>
        <v>119</v>
      </c>
      <c r="H38" s="34">
        <f>IF(ISBLANK(tbPodasAtual[[#This Row],[Poda]]),"",tbPodasAtual[[#This Row],[Poda]]+10)</f>
        <v>46051</v>
      </c>
      <c r="I38" s="34">
        <f>IF(ISBLANK(tbPodasAtual[[#This Row],[Poda]]),"",tbPodasAtual[[#This Row],[Poda]]+30)</f>
        <v>46071</v>
      </c>
      <c r="J38" s="34">
        <f>IF(ISBLANK(tbPodasAtual[[#This Row],[Poda]]),"",tbPodasAtual[[#This Row],[Poda]]+45)</f>
        <v>46086</v>
      </c>
      <c r="K38" s="35">
        <f>IF(tbPodasAtual[[#This Row],[Poda]]="","",tbPodasAtual[[#This Row],[Poda]]+110)</f>
        <v>46151</v>
      </c>
      <c r="L38" s="35"/>
      <c r="M38" s="36" t="s">
        <v>26</v>
      </c>
    </row>
    <row r="39" spans="2:13" x14ac:dyDescent="0.25">
      <c r="B39" s="29">
        <v>33</v>
      </c>
      <c r="C39" s="30">
        <v>46048</v>
      </c>
      <c r="D39" s="31">
        <f>IF(ISBLANK(tbPodasAtual[[#This Row],[Poda]]),"",_xlfn.ISOWEEKNUM(tbPodasAtual[[#This Row],[Poda]]))</f>
        <v>5</v>
      </c>
      <c r="E39" s="32" t="s">
        <v>27</v>
      </c>
      <c r="F39" s="31" t="s">
        <v>25</v>
      </c>
      <c r="G39" s="33">
        <f ca="1">IF(tbPodasAtual[[#This Row],[Poda]]="","",IF(tbPodasAtual[[#This Row],[Colhida]]="x",tbPodasAtual[[#This Row],[Colheita]]-tbPodasAtual[[#This Row],[Poda]],TODAY()-tbPodasAtual[[#This Row],[Poda]]))</f>
        <v>112</v>
      </c>
      <c r="H39" s="34">
        <f>IF(ISBLANK(tbPodasAtual[[#This Row],[Poda]]),"",tbPodasAtual[[#This Row],[Poda]]+10)</f>
        <v>46058</v>
      </c>
      <c r="I39" s="34">
        <f>IF(ISBLANK(tbPodasAtual[[#This Row],[Poda]]),"",tbPodasAtual[[#This Row],[Poda]]+30)</f>
        <v>46078</v>
      </c>
      <c r="J39" s="34">
        <f>IF(ISBLANK(tbPodasAtual[[#This Row],[Poda]]),"",tbPodasAtual[[#This Row],[Poda]]+45)</f>
        <v>46093</v>
      </c>
      <c r="K39" s="35">
        <f>IF(tbPodasAtual[[#This Row],[Poda]]="","",tbPodasAtual[[#This Row],[Poda]]+110)</f>
        <v>46158</v>
      </c>
      <c r="L39" s="35"/>
      <c r="M39" s="36" t="s">
        <v>26</v>
      </c>
    </row>
    <row r="40" spans="2:13" x14ac:dyDescent="0.25">
      <c r="B40" s="29">
        <v>34</v>
      </c>
      <c r="C40" s="30">
        <v>46048</v>
      </c>
      <c r="D40" s="31">
        <f>IF(ISBLANK(tbPodasAtual[[#This Row],[Poda]]),"",_xlfn.ISOWEEKNUM(tbPodasAtual[[#This Row],[Poda]]))</f>
        <v>5</v>
      </c>
      <c r="E40" s="32" t="s">
        <v>27</v>
      </c>
      <c r="F40" s="31" t="s">
        <v>25</v>
      </c>
      <c r="G40" s="33">
        <f ca="1">IF(tbPodasAtual[[#This Row],[Poda]]="","",IF(tbPodasAtual[[#This Row],[Colhida]]="x",tbPodasAtual[[#This Row],[Colheita]]-tbPodasAtual[[#This Row],[Poda]],TODAY()-tbPodasAtual[[#This Row],[Poda]]))</f>
        <v>112</v>
      </c>
      <c r="H40" s="34">
        <f>IF(ISBLANK(tbPodasAtual[[#This Row],[Poda]]),"",tbPodasAtual[[#This Row],[Poda]]+10)</f>
        <v>46058</v>
      </c>
      <c r="I40" s="34">
        <f>IF(ISBLANK(tbPodasAtual[[#This Row],[Poda]]),"",tbPodasAtual[[#This Row],[Poda]]+30)</f>
        <v>46078</v>
      </c>
      <c r="J40" s="34">
        <f>IF(ISBLANK(tbPodasAtual[[#This Row],[Poda]]),"",tbPodasAtual[[#This Row],[Poda]]+45)</f>
        <v>46093</v>
      </c>
      <c r="K40" s="35">
        <f>IF(tbPodasAtual[[#This Row],[Poda]]="","",tbPodasAtual[[#This Row],[Poda]]+110)</f>
        <v>46158</v>
      </c>
      <c r="L40" s="35"/>
      <c r="M40" s="36" t="s">
        <v>26</v>
      </c>
    </row>
    <row r="41" spans="2:13" x14ac:dyDescent="0.25">
      <c r="B41" s="29">
        <v>35</v>
      </c>
      <c r="C41" s="30">
        <v>46048</v>
      </c>
      <c r="D41" s="31">
        <f>IF(ISBLANK(tbPodasAtual[[#This Row],[Poda]]),"",_xlfn.ISOWEEKNUM(tbPodasAtual[[#This Row],[Poda]]))</f>
        <v>5</v>
      </c>
      <c r="E41" s="32" t="s">
        <v>27</v>
      </c>
      <c r="F41" s="31" t="s">
        <v>25</v>
      </c>
      <c r="G41" s="33">
        <f ca="1">IF(tbPodasAtual[[#This Row],[Poda]]="","",IF(tbPodasAtual[[#This Row],[Colhida]]="x",tbPodasAtual[[#This Row],[Colheita]]-tbPodasAtual[[#This Row],[Poda]],TODAY()-tbPodasAtual[[#This Row],[Poda]]))</f>
        <v>112</v>
      </c>
      <c r="H41" s="34">
        <f>IF(ISBLANK(tbPodasAtual[[#This Row],[Poda]]),"",tbPodasAtual[[#This Row],[Poda]]+10)</f>
        <v>46058</v>
      </c>
      <c r="I41" s="34">
        <f>IF(ISBLANK(tbPodasAtual[[#This Row],[Poda]]),"",tbPodasAtual[[#This Row],[Poda]]+30)</f>
        <v>46078</v>
      </c>
      <c r="J41" s="34">
        <f>IF(ISBLANK(tbPodasAtual[[#This Row],[Poda]]),"",tbPodasAtual[[#This Row],[Poda]]+45)</f>
        <v>46093</v>
      </c>
      <c r="K41" s="35">
        <f>IF(tbPodasAtual[[#This Row],[Poda]]="","",tbPodasAtual[[#This Row],[Poda]]+110)</f>
        <v>46158</v>
      </c>
      <c r="L41" s="35"/>
      <c r="M41" s="36" t="s">
        <v>26</v>
      </c>
    </row>
    <row r="42" spans="2:13" x14ac:dyDescent="0.25">
      <c r="B42" s="29">
        <v>36</v>
      </c>
      <c r="C42" s="30">
        <v>46048</v>
      </c>
      <c r="D42" s="31">
        <f>IF(ISBLANK(tbPodasAtual[[#This Row],[Poda]]),"",_xlfn.ISOWEEKNUM(tbPodasAtual[[#This Row],[Poda]]))</f>
        <v>5</v>
      </c>
      <c r="E42" s="32" t="s">
        <v>27</v>
      </c>
      <c r="F42" s="31" t="s">
        <v>25</v>
      </c>
      <c r="G42" s="33">
        <f ca="1">IF(tbPodasAtual[[#This Row],[Poda]]="","",IF(tbPodasAtual[[#This Row],[Colhida]]="x",tbPodasAtual[[#This Row],[Colheita]]-tbPodasAtual[[#This Row],[Poda]],TODAY()-tbPodasAtual[[#This Row],[Poda]]))</f>
        <v>112</v>
      </c>
      <c r="H42" s="34">
        <f>IF(ISBLANK(tbPodasAtual[[#This Row],[Poda]]),"",tbPodasAtual[[#This Row],[Poda]]+10)</f>
        <v>46058</v>
      </c>
      <c r="I42" s="34">
        <f>IF(ISBLANK(tbPodasAtual[[#This Row],[Poda]]),"",tbPodasAtual[[#This Row],[Poda]]+30)</f>
        <v>46078</v>
      </c>
      <c r="J42" s="34">
        <f>IF(ISBLANK(tbPodasAtual[[#This Row],[Poda]]),"",tbPodasAtual[[#This Row],[Poda]]+45)</f>
        <v>46093</v>
      </c>
      <c r="K42" s="35">
        <f>IF(tbPodasAtual[[#This Row],[Poda]]="","",tbPodasAtual[[#This Row],[Poda]]+110)</f>
        <v>46158</v>
      </c>
      <c r="L42" s="35"/>
      <c r="M42" s="36" t="str">
        <f t="shared" ref="M42:M69" si="1">"o"</f>
        <v>o</v>
      </c>
    </row>
    <row r="43" spans="2:13" x14ac:dyDescent="0.25">
      <c r="B43" s="29">
        <v>37</v>
      </c>
      <c r="C43" s="30">
        <v>46048</v>
      </c>
      <c r="D43" s="31">
        <f>IF(ISBLANK(tbPodasAtual[[#This Row],[Poda]]),"",_xlfn.ISOWEEKNUM(tbPodasAtual[[#This Row],[Poda]]))</f>
        <v>5</v>
      </c>
      <c r="E43" s="32" t="s">
        <v>27</v>
      </c>
      <c r="F43" s="31" t="s">
        <v>25</v>
      </c>
      <c r="G43" s="33">
        <f ca="1">IF(tbPodasAtual[[#This Row],[Poda]]="","",IF(tbPodasAtual[[#This Row],[Colhida]]="x",tbPodasAtual[[#This Row],[Colheita]]-tbPodasAtual[[#This Row],[Poda]],TODAY()-tbPodasAtual[[#This Row],[Poda]]))</f>
        <v>112</v>
      </c>
      <c r="H43" s="34">
        <f>IF(ISBLANK(tbPodasAtual[[#This Row],[Poda]]),"",tbPodasAtual[[#This Row],[Poda]]+10)</f>
        <v>46058</v>
      </c>
      <c r="I43" s="34">
        <f>IF(ISBLANK(tbPodasAtual[[#This Row],[Poda]]),"",tbPodasAtual[[#This Row],[Poda]]+30)</f>
        <v>46078</v>
      </c>
      <c r="J43" s="34">
        <f>IF(ISBLANK(tbPodasAtual[[#This Row],[Poda]]),"",tbPodasAtual[[#This Row],[Poda]]+45)</f>
        <v>46093</v>
      </c>
      <c r="K43" s="35">
        <f>IF(tbPodasAtual[[#This Row],[Poda]]="","",tbPodasAtual[[#This Row],[Poda]]+110)</f>
        <v>46158</v>
      </c>
      <c r="L43" s="35"/>
      <c r="M43" s="36" t="str">
        <f t="shared" si="1"/>
        <v>o</v>
      </c>
    </row>
    <row r="44" spans="2:13" x14ac:dyDescent="0.25">
      <c r="B44" s="29">
        <v>38</v>
      </c>
      <c r="C44" s="30">
        <v>46056</v>
      </c>
      <c r="D44" s="31">
        <f>IF(ISBLANK(tbPodasAtual[[#This Row],[Poda]]),"",_xlfn.ISOWEEKNUM(tbPodasAtual[[#This Row],[Poda]]))</f>
        <v>6</v>
      </c>
      <c r="E44" s="32" t="s">
        <v>27</v>
      </c>
      <c r="F44" s="31" t="s">
        <v>25</v>
      </c>
      <c r="G44" s="33">
        <f ca="1">IF(tbPodasAtual[[#This Row],[Poda]]="","",IF(tbPodasAtual[[#This Row],[Colhida]]="x",tbPodasAtual[[#This Row],[Colheita]]-tbPodasAtual[[#This Row],[Poda]],TODAY()-tbPodasAtual[[#This Row],[Poda]]))</f>
        <v>104</v>
      </c>
      <c r="H44" s="34">
        <f>IF(ISBLANK(tbPodasAtual[[#This Row],[Poda]]),"",tbPodasAtual[[#This Row],[Poda]]+10)</f>
        <v>46066</v>
      </c>
      <c r="I44" s="34">
        <f>IF(ISBLANK(tbPodasAtual[[#This Row],[Poda]]),"",tbPodasAtual[[#This Row],[Poda]]+30)</f>
        <v>46086</v>
      </c>
      <c r="J44" s="34">
        <f>IF(ISBLANK(tbPodasAtual[[#This Row],[Poda]]),"",tbPodasAtual[[#This Row],[Poda]]+45)</f>
        <v>46101</v>
      </c>
      <c r="K44" s="35">
        <f>IF(tbPodasAtual[[#This Row],[Poda]]="","",tbPodasAtual[[#This Row],[Poda]]+110)</f>
        <v>46166</v>
      </c>
      <c r="L44" s="35"/>
      <c r="M44" s="36" t="str">
        <f t="shared" si="1"/>
        <v>o</v>
      </c>
    </row>
    <row r="45" spans="2:13" x14ac:dyDescent="0.25">
      <c r="B45" s="29">
        <v>39</v>
      </c>
      <c r="C45" s="30">
        <v>46056</v>
      </c>
      <c r="D45" s="31">
        <f>IF(ISBLANK(tbPodasAtual[[#This Row],[Poda]]),"",_xlfn.ISOWEEKNUM(tbPodasAtual[[#This Row],[Poda]]))</f>
        <v>6</v>
      </c>
      <c r="E45" s="32" t="s">
        <v>27</v>
      </c>
      <c r="F45" s="31" t="s">
        <v>25</v>
      </c>
      <c r="G45" s="33">
        <f ca="1">IF(tbPodasAtual[[#This Row],[Poda]]="","",IF(tbPodasAtual[[#This Row],[Colhida]]="x",tbPodasAtual[[#This Row],[Colheita]]-tbPodasAtual[[#This Row],[Poda]],TODAY()-tbPodasAtual[[#This Row],[Poda]]))</f>
        <v>104</v>
      </c>
      <c r="H45" s="34">
        <f>IF(ISBLANK(tbPodasAtual[[#This Row],[Poda]]),"",tbPodasAtual[[#This Row],[Poda]]+10)</f>
        <v>46066</v>
      </c>
      <c r="I45" s="34">
        <f>IF(ISBLANK(tbPodasAtual[[#This Row],[Poda]]),"",tbPodasAtual[[#This Row],[Poda]]+30)</f>
        <v>46086</v>
      </c>
      <c r="J45" s="34">
        <f>IF(ISBLANK(tbPodasAtual[[#This Row],[Poda]]),"",tbPodasAtual[[#This Row],[Poda]]+45)</f>
        <v>46101</v>
      </c>
      <c r="K45" s="35">
        <f>IF(tbPodasAtual[[#This Row],[Poda]]="","",tbPodasAtual[[#This Row],[Poda]]+110)</f>
        <v>46166</v>
      </c>
      <c r="L45" s="35"/>
      <c r="M45" s="36" t="str">
        <f t="shared" si="1"/>
        <v>o</v>
      </c>
    </row>
    <row r="46" spans="2:13" x14ac:dyDescent="0.25">
      <c r="B46" s="29">
        <v>40</v>
      </c>
      <c r="C46" s="30">
        <v>46056</v>
      </c>
      <c r="D46" s="31">
        <f>IF(ISBLANK(tbPodasAtual[[#This Row],[Poda]]),"",_xlfn.ISOWEEKNUM(tbPodasAtual[[#This Row],[Poda]]))</f>
        <v>6</v>
      </c>
      <c r="E46" s="32" t="s">
        <v>27</v>
      </c>
      <c r="F46" s="31" t="s">
        <v>25</v>
      </c>
      <c r="G46" s="33">
        <f ca="1">IF(tbPodasAtual[[#This Row],[Poda]]="","",IF(tbPodasAtual[[#This Row],[Colhida]]="x",tbPodasAtual[[#This Row],[Colheita]]-tbPodasAtual[[#This Row],[Poda]],TODAY()-tbPodasAtual[[#This Row],[Poda]]))</f>
        <v>104</v>
      </c>
      <c r="H46" s="34">
        <f>IF(ISBLANK(tbPodasAtual[[#This Row],[Poda]]),"",tbPodasAtual[[#This Row],[Poda]]+10)</f>
        <v>46066</v>
      </c>
      <c r="I46" s="34">
        <f>IF(ISBLANK(tbPodasAtual[[#This Row],[Poda]]),"",tbPodasAtual[[#This Row],[Poda]]+30)</f>
        <v>46086</v>
      </c>
      <c r="J46" s="34">
        <f>IF(ISBLANK(tbPodasAtual[[#This Row],[Poda]]),"",tbPodasAtual[[#This Row],[Poda]]+45)</f>
        <v>46101</v>
      </c>
      <c r="K46" s="35">
        <f>IF(tbPodasAtual[[#This Row],[Poda]]="","",tbPodasAtual[[#This Row],[Poda]]+110)</f>
        <v>46166</v>
      </c>
      <c r="L46" s="35"/>
      <c r="M46" s="36" t="str">
        <f t="shared" si="1"/>
        <v>o</v>
      </c>
    </row>
    <row r="47" spans="2:13" x14ac:dyDescent="0.25">
      <c r="B47" s="29">
        <v>41</v>
      </c>
      <c r="C47" s="30">
        <v>46056</v>
      </c>
      <c r="D47" s="31">
        <f>IF(ISBLANK(tbPodasAtual[[#This Row],[Poda]]),"",_xlfn.ISOWEEKNUM(tbPodasAtual[[#This Row],[Poda]]))</f>
        <v>6</v>
      </c>
      <c r="E47" s="32" t="s">
        <v>27</v>
      </c>
      <c r="F47" s="31" t="s">
        <v>25</v>
      </c>
      <c r="G47" s="33">
        <f ca="1">IF(tbPodasAtual[[#This Row],[Poda]]="","",IF(tbPodasAtual[[#This Row],[Colhida]]="x",tbPodasAtual[[#This Row],[Colheita]]-tbPodasAtual[[#This Row],[Poda]],TODAY()-tbPodasAtual[[#This Row],[Poda]]))</f>
        <v>104</v>
      </c>
      <c r="H47" s="34">
        <f>IF(ISBLANK(tbPodasAtual[[#This Row],[Poda]]),"",tbPodasAtual[[#This Row],[Poda]]+10)</f>
        <v>46066</v>
      </c>
      <c r="I47" s="34">
        <f>IF(ISBLANK(tbPodasAtual[[#This Row],[Poda]]),"",tbPodasAtual[[#This Row],[Poda]]+30)</f>
        <v>46086</v>
      </c>
      <c r="J47" s="34">
        <f>IF(ISBLANK(tbPodasAtual[[#This Row],[Poda]]),"",tbPodasAtual[[#This Row],[Poda]]+45)</f>
        <v>46101</v>
      </c>
      <c r="K47" s="35">
        <f>IF(tbPodasAtual[[#This Row],[Poda]]="","",tbPodasAtual[[#This Row],[Poda]]+110)</f>
        <v>46166</v>
      </c>
      <c r="L47" s="35"/>
      <c r="M47" s="36" t="str">
        <f t="shared" si="1"/>
        <v>o</v>
      </c>
    </row>
    <row r="48" spans="2:13" x14ac:dyDescent="0.25">
      <c r="B48" s="29">
        <v>42</v>
      </c>
      <c r="C48" s="30">
        <v>46113</v>
      </c>
      <c r="D48" s="31">
        <f>IF(ISBLANK(tbPodasAtual[[#This Row],[Poda]]),"",_xlfn.ISOWEEKNUM(tbPodasAtual[[#This Row],[Poda]]))</f>
        <v>14</v>
      </c>
      <c r="E48" s="32" t="s">
        <v>24</v>
      </c>
      <c r="F48" s="31" t="s">
        <v>25</v>
      </c>
      <c r="G48" s="33">
        <f ca="1">IF(tbPodasAtual[[#This Row],[Poda]]="","",IF(tbPodasAtual[[#This Row],[Colhida]]="x",tbPodasAtual[[#This Row],[Colheita]]-tbPodasAtual[[#This Row],[Poda]],TODAY()-tbPodasAtual[[#This Row],[Poda]]))</f>
        <v>47</v>
      </c>
      <c r="H48" s="34">
        <f>IF(ISBLANK(tbPodasAtual[[#This Row],[Poda]]),"",tbPodasAtual[[#This Row],[Poda]]+10)</f>
        <v>46123</v>
      </c>
      <c r="I48" s="34">
        <f>IF(ISBLANK(tbPodasAtual[[#This Row],[Poda]]),"",tbPodasAtual[[#This Row],[Poda]]+30)</f>
        <v>46143</v>
      </c>
      <c r="J48" s="34">
        <f>IF(ISBLANK(tbPodasAtual[[#This Row],[Poda]]),"",tbPodasAtual[[#This Row],[Poda]]+45)</f>
        <v>46158</v>
      </c>
      <c r="K48" s="35">
        <f>IF(tbPodasAtual[[#This Row],[Poda]]="","",tbPodasAtual[[#This Row],[Poda]]+110)</f>
        <v>46223</v>
      </c>
      <c r="L48" s="35"/>
      <c r="M48" s="36" t="str">
        <f t="shared" si="1"/>
        <v>o</v>
      </c>
    </row>
    <row r="49" spans="2:13" x14ac:dyDescent="0.25">
      <c r="B49" s="29">
        <v>43</v>
      </c>
      <c r="C49" s="30">
        <v>46113</v>
      </c>
      <c r="D49" s="31">
        <f>IF(ISBLANK(tbPodasAtual[[#This Row],[Poda]]),"",_xlfn.ISOWEEKNUM(tbPodasAtual[[#This Row],[Poda]]))</f>
        <v>14</v>
      </c>
      <c r="E49" s="32" t="s">
        <v>24</v>
      </c>
      <c r="F49" s="31" t="s">
        <v>25</v>
      </c>
      <c r="G49" s="33">
        <f ca="1">IF(tbPodasAtual[[#This Row],[Poda]]="","",IF(tbPodasAtual[[#This Row],[Colhida]]="x",tbPodasAtual[[#This Row],[Colheita]]-tbPodasAtual[[#This Row],[Poda]],TODAY()-tbPodasAtual[[#This Row],[Poda]]))</f>
        <v>47</v>
      </c>
      <c r="H49" s="34">
        <f>IF(ISBLANK(tbPodasAtual[[#This Row],[Poda]]),"",tbPodasAtual[[#This Row],[Poda]]+10)</f>
        <v>46123</v>
      </c>
      <c r="I49" s="34">
        <f>IF(ISBLANK(tbPodasAtual[[#This Row],[Poda]]),"",tbPodasAtual[[#This Row],[Poda]]+30)</f>
        <v>46143</v>
      </c>
      <c r="J49" s="34">
        <f>IF(ISBLANK(tbPodasAtual[[#This Row],[Poda]]),"",tbPodasAtual[[#This Row],[Poda]]+45)</f>
        <v>46158</v>
      </c>
      <c r="K49" s="35">
        <f>IF(tbPodasAtual[[#This Row],[Poda]]="","",tbPodasAtual[[#This Row],[Poda]]+110)</f>
        <v>46223</v>
      </c>
      <c r="L49" s="35"/>
      <c r="M49" s="36" t="str">
        <f t="shared" si="1"/>
        <v>o</v>
      </c>
    </row>
    <row r="50" spans="2:13" x14ac:dyDescent="0.25">
      <c r="B50" s="29">
        <v>44</v>
      </c>
      <c r="C50" s="30">
        <v>46113</v>
      </c>
      <c r="D50" s="31">
        <f>IF(ISBLANK(tbPodasAtual[[#This Row],[Poda]]),"",_xlfn.ISOWEEKNUM(tbPodasAtual[[#This Row],[Poda]]))</f>
        <v>14</v>
      </c>
      <c r="E50" s="32" t="s">
        <v>24</v>
      </c>
      <c r="F50" s="31" t="s">
        <v>25</v>
      </c>
      <c r="G50" s="33">
        <f ca="1">IF(tbPodasAtual[[#This Row],[Poda]]="","",IF(tbPodasAtual[[#This Row],[Colhida]]="x",tbPodasAtual[[#This Row],[Colheita]]-tbPodasAtual[[#This Row],[Poda]],TODAY()-tbPodasAtual[[#This Row],[Poda]]))</f>
        <v>47</v>
      </c>
      <c r="H50" s="34">
        <f>IF(ISBLANK(tbPodasAtual[[#This Row],[Poda]]),"",tbPodasAtual[[#This Row],[Poda]]+10)</f>
        <v>46123</v>
      </c>
      <c r="I50" s="34">
        <f>IF(ISBLANK(tbPodasAtual[[#This Row],[Poda]]),"",tbPodasAtual[[#This Row],[Poda]]+30)</f>
        <v>46143</v>
      </c>
      <c r="J50" s="34">
        <f>IF(ISBLANK(tbPodasAtual[[#This Row],[Poda]]),"",tbPodasAtual[[#This Row],[Poda]]+45)</f>
        <v>46158</v>
      </c>
      <c r="K50" s="35">
        <f>IF(tbPodasAtual[[#This Row],[Poda]]="","",tbPodasAtual[[#This Row],[Poda]]+110)</f>
        <v>46223</v>
      </c>
      <c r="L50" s="35"/>
      <c r="M50" s="36" t="str">
        <f t="shared" si="1"/>
        <v>o</v>
      </c>
    </row>
    <row r="51" spans="2:13" x14ac:dyDescent="0.25">
      <c r="B51" s="29">
        <v>45</v>
      </c>
      <c r="C51" s="30">
        <v>46120</v>
      </c>
      <c r="D51" s="31">
        <f>IF(ISBLANK(tbPodasAtual[[#This Row],[Poda]]),"",_xlfn.ISOWEEKNUM(tbPodasAtual[[#This Row],[Poda]]))</f>
        <v>15</v>
      </c>
      <c r="E51" s="32" t="s">
        <v>27</v>
      </c>
      <c r="F51" s="31" t="s">
        <v>25</v>
      </c>
      <c r="G51" s="33">
        <f ca="1">IF(tbPodasAtual[[#This Row],[Poda]]="","",IF(tbPodasAtual[[#This Row],[Colhida]]="x",tbPodasAtual[[#This Row],[Colheita]]-tbPodasAtual[[#This Row],[Poda]],TODAY()-tbPodasAtual[[#This Row],[Poda]]))</f>
        <v>40</v>
      </c>
      <c r="H51" s="34">
        <f>IF(ISBLANK(tbPodasAtual[[#This Row],[Poda]]),"",tbPodasAtual[[#This Row],[Poda]]+10)</f>
        <v>46130</v>
      </c>
      <c r="I51" s="34">
        <f>IF(ISBLANK(tbPodasAtual[[#This Row],[Poda]]),"",tbPodasAtual[[#This Row],[Poda]]+30)</f>
        <v>46150</v>
      </c>
      <c r="J51" s="34">
        <f>IF(ISBLANK(tbPodasAtual[[#This Row],[Poda]]),"",tbPodasAtual[[#This Row],[Poda]]+45)</f>
        <v>46165</v>
      </c>
      <c r="K51" s="35">
        <f>IF(tbPodasAtual[[#This Row],[Poda]]="","",tbPodasAtual[[#This Row],[Poda]]+110)</f>
        <v>46230</v>
      </c>
      <c r="L51" s="35"/>
      <c r="M51" s="36" t="str">
        <f t="shared" si="1"/>
        <v>o</v>
      </c>
    </row>
    <row r="52" spans="2:13" x14ac:dyDescent="0.25">
      <c r="B52" s="29">
        <v>46</v>
      </c>
      <c r="C52" s="30">
        <v>46120</v>
      </c>
      <c r="D52" s="31">
        <f>IF(ISBLANK(tbPodasAtual[[#This Row],[Poda]]),"",_xlfn.ISOWEEKNUM(tbPodasAtual[[#This Row],[Poda]]))</f>
        <v>15</v>
      </c>
      <c r="E52" s="32" t="s">
        <v>27</v>
      </c>
      <c r="F52" s="31" t="s">
        <v>25</v>
      </c>
      <c r="G52" s="33">
        <f ca="1">IF(tbPodasAtual[[#This Row],[Poda]]="","",IF(tbPodasAtual[[#This Row],[Colhida]]="x",tbPodasAtual[[#This Row],[Colheita]]-tbPodasAtual[[#This Row],[Poda]],TODAY()-tbPodasAtual[[#This Row],[Poda]]))</f>
        <v>40</v>
      </c>
      <c r="H52" s="34">
        <f>IF(ISBLANK(tbPodasAtual[[#This Row],[Poda]]),"",tbPodasAtual[[#This Row],[Poda]]+10)</f>
        <v>46130</v>
      </c>
      <c r="I52" s="34">
        <f>IF(ISBLANK(tbPodasAtual[[#This Row],[Poda]]),"",tbPodasAtual[[#This Row],[Poda]]+30)</f>
        <v>46150</v>
      </c>
      <c r="J52" s="34">
        <f>IF(ISBLANK(tbPodasAtual[[#This Row],[Poda]]),"",tbPodasAtual[[#This Row],[Poda]]+45)</f>
        <v>46165</v>
      </c>
      <c r="K52" s="35">
        <f>IF(tbPodasAtual[[#This Row],[Poda]]="","",tbPodasAtual[[#This Row],[Poda]]+110)</f>
        <v>46230</v>
      </c>
      <c r="L52" s="35"/>
      <c r="M52" s="36" t="str">
        <f t="shared" si="1"/>
        <v>o</v>
      </c>
    </row>
    <row r="53" spans="2:13" x14ac:dyDescent="0.25">
      <c r="B53" s="29">
        <v>47</v>
      </c>
      <c r="C53" s="30">
        <v>46120</v>
      </c>
      <c r="D53" s="31">
        <f>IF(ISBLANK(tbPodasAtual[[#This Row],[Poda]]),"",_xlfn.ISOWEEKNUM(tbPodasAtual[[#This Row],[Poda]]))</f>
        <v>15</v>
      </c>
      <c r="E53" s="32" t="s">
        <v>27</v>
      </c>
      <c r="F53" s="31" t="s">
        <v>25</v>
      </c>
      <c r="G53" s="33">
        <f ca="1">IF(tbPodasAtual[[#This Row],[Poda]]="","",IF(tbPodasAtual[[#This Row],[Colhida]]="x",tbPodasAtual[[#This Row],[Colheita]]-tbPodasAtual[[#This Row],[Poda]],TODAY()-tbPodasAtual[[#This Row],[Poda]]))</f>
        <v>40</v>
      </c>
      <c r="H53" s="34">
        <f>IF(ISBLANK(tbPodasAtual[[#This Row],[Poda]]),"",tbPodasAtual[[#This Row],[Poda]]+10)</f>
        <v>46130</v>
      </c>
      <c r="I53" s="34">
        <f>IF(ISBLANK(tbPodasAtual[[#This Row],[Poda]]),"",tbPodasAtual[[#This Row],[Poda]]+30)</f>
        <v>46150</v>
      </c>
      <c r="J53" s="34">
        <f>IF(ISBLANK(tbPodasAtual[[#This Row],[Poda]]),"",tbPodasAtual[[#This Row],[Poda]]+45)</f>
        <v>46165</v>
      </c>
      <c r="K53" s="35">
        <f>IF(tbPodasAtual[[#This Row],[Poda]]="","",tbPodasAtual[[#This Row],[Poda]]+110)</f>
        <v>46230</v>
      </c>
      <c r="L53" s="35"/>
      <c r="M53" s="36" t="str">
        <f t="shared" si="1"/>
        <v>o</v>
      </c>
    </row>
    <row r="54" spans="2:13" x14ac:dyDescent="0.25">
      <c r="B54" s="29">
        <v>48</v>
      </c>
      <c r="C54" s="30">
        <v>46127</v>
      </c>
      <c r="D54" s="31">
        <f>IF(ISBLANK(tbPodasAtual[[#This Row],[Poda]]),"",_xlfn.ISOWEEKNUM(tbPodasAtual[[#This Row],[Poda]]))</f>
        <v>16</v>
      </c>
      <c r="E54" s="32" t="s">
        <v>24</v>
      </c>
      <c r="F54" s="31" t="s">
        <v>25</v>
      </c>
      <c r="G54" s="33">
        <f ca="1">IF(tbPodasAtual[[#This Row],[Poda]]="","",IF(tbPodasAtual[[#This Row],[Colhida]]="x",tbPodasAtual[[#This Row],[Colheita]]-tbPodasAtual[[#This Row],[Poda]],TODAY()-tbPodasAtual[[#This Row],[Poda]]))</f>
        <v>33</v>
      </c>
      <c r="H54" s="34">
        <f>IF(ISBLANK(tbPodasAtual[[#This Row],[Poda]]),"",tbPodasAtual[[#This Row],[Poda]]+10)</f>
        <v>46137</v>
      </c>
      <c r="I54" s="34">
        <f>IF(ISBLANK(tbPodasAtual[[#This Row],[Poda]]),"",tbPodasAtual[[#This Row],[Poda]]+30)</f>
        <v>46157</v>
      </c>
      <c r="J54" s="34">
        <f>IF(ISBLANK(tbPodasAtual[[#This Row],[Poda]]),"",tbPodasAtual[[#This Row],[Poda]]+45)</f>
        <v>46172</v>
      </c>
      <c r="K54" s="35">
        <f>IF(tbPodasAtual[[#This Row],[Poda]]="","",tbPodasAtual[[#This Row],[Poda]]+110)</f>
        <v>46237</v>
      </c>
      <c r="L54" s="35"/>
      <c r="M54" s="36" t="str">
        <f t="shared" si="1"/>
        <v>o</v>
      </c>
    </row>
    <row r="55" spans="2:13" x14ac:dyDescent="0.25">
      <c r="B55" s="29">
        <v>49</v>
      </c>
      <c r="C55" s="30">
        <v>46127</v>
      </c>
      <c r="D55" s="31">
        <f>IF(ISBLANK(tbPodasAtual[[#This Row],[Poda]]),"",_xlfn.ISOWEEKNUM(tbPodasAtual[[#This Row],[Poda]]))</f>
        <v>16</v>
      </c>
      <c r="E55" s="32" t="s">
        <v>24</v>
      </c>
      <c r="F55" s="31" t="s">
        <v>25</v>
      </c>
      <c r="G55" s="33">
        <f ca="1">IF(tbPodasAtual[[#This Row],[Poda]]="","",IF(tbPodasAtual[[#This Row],[Colhida]]="x",tbPodasAtual[[#This Row],[Colheita]]-tbPodasAtual[[#This Row],[Poda]],TODAY()-tbPodasAtual[[#This Row],[Poda]]))</f>
        <v>33</v>
      </c>
      <c r="H55" s="34">
        <f>IF(ISBLANK(tbPodasAtual[[#This Row],[Poda]]),"",tbPodasAtual[[#This Row],[Poda]]+10)</f>
        <v>46137</v>
      </c>
      <c r="I55" s="34">
        <f>IF(ISBLANK(tbPodasAtual[[#This Row],[Poda]]),"",tbPodasAtual[[#This Row],[Poda]]+30)</f>
        <v>46157</v>
      </c>
      <c r="J55" s="34">
        <f>IF(ISBLANK(tbPodasAtual[[#This Row],[Poda]]),"",tbPodasAtual[[#This Row],[Poda]]+45)</f>
        <v>46172</v>
      </c>
      <c r="K55" s="35">
        <f>IF(tbPodasAtual[[#This Row],[Poda]]="","",tbPodasAtual[[#This Row],[Poda]]+110)</f>
        <v>46237</v>
      </c>
      <c r="L55" s="35"/>
      <c r="M55" s="36" t="str">
        <f t="shared" si="1"/>
        <v>o</v>
      </c>
    </row>
    <row r="56" spans="2:13" x14ac:dyDescent="0.25">
      <c r="B56" s="29">
        <v>50</v>
      </c>
      <c r="C56" s="30">
        <v>46127</v>
      </c>
      <c r="D56" s="31">
        <f>IF(ISBLANK(tbPodasAtual[[#This Row],[Poda]]),"",_xlfn.ISOWEEKNUM(tbPodasAtual[[#This Row],[Poda]]))</f>
        <v>16</v>
      </c>
      <c r="E56" s="32" t="s">
        <v>24</v>
      </c>
      <c r="F56" s="31" t="s">
        <v>25</v>
      </c>
      <c r="G56" s="33">
        <f ca="1">IF(tbPodasAtual[[#This Row],[Poda]]="","",IF(tbPodasAtual[[#This Row],[Colhida]]="x",tbPodasAtual[[#This Row],[Colheita]]-tbPodasAtual[[#This Row],[Poda]],TODAY()-tbPodasAtual[[#This Row],[Poda]]))</f>
        <v>33</v>
      </c>
      <c r="H56" s="34">
        <f>IF(ISBLANK(tbPodasAtual[[#This Row],[Poda]]),"",tbPodasAtual[[#This Row],[Poda]]+10)</f>
        <v>46137</v>
      </c>
      <c r="I56" s="34">
        <f>IF(ISBLANK(tbPodasAtual[[#This Row],[Poda]]),"",tbPodasAtual[[#This Row],[Poda]]+30)</f>
        <v>46157</v>
      </c>
      <c r="J56" s="34">
        <f>IF(ISBLANK(tbPodasAtual[[#This Row],[Poda]]),"",tbPodasAtual[[#This Row],[Poda]]+45)</f>
        <v>46172</v>
      </c>
      <c r="K56" s="35">
        <f>IF(tbPodasAtual[[#This Row],[Poda]]="","",tbPodasAtual[[#This Row],[Poda]]+110)</f>
        <v>46237</v>
      </c>
      <c r="L56" s="35"/>
      <c r="M56" s="36" t="str">
        <f t="shared" si="1"/>
        <v>o</v>
      </c>
    </row>
    <row r="57" spans="2:13" x14ac:dyDescent="0.25">
      <c r="B57" s="29">
        <v>51</v>
      </c>
      <c r="C57" s="30">
        <v>46134</v>
      </c>
      <c r="D57" s="31">
        <f>IF(ISBLANK(tbPodasAtual[[#This Row],[Poda]]),"",_xlfn.ISOWEEKNUM(tbPodasAtual[[#This Row],[Poda]]))</f>
        <v>17</v>
      </c>
      <c r="E57" s="32" t="s">
        <v>27</v>
      </c>
      <c r="F57" s="31" t="s">
        <v>25</v>
      </c>
      <c r="G57" s="33">
        <f ca="1">IF(tbPodasAtual[[#This Row],[Poda]]="","",IF(tbPodasAtual[[#This Row],[Colhida]]="x",tbPodasAtual[[#This Row],[Colheita]]-tbPodasAtual[[#This Row],[Poda]],TODAY()-tbPodasAtual[[#This Row],[Poda]]))</f>
        <v>26</v>
      </c>
      <c r="H57" s="34">
        <f>IF(ISBLANK(tbPodasAtual[[#This Row],[Poda]]),"",tbPodasAtual[[#This Row],[Poda]]+10)</f>
        <v>46144</v>
      </c>
      <c r="I57" s="34">
        <f>IF(ISBLANK(tbPodasAtual[[#This Row],[Poda]]),"",tbPodasAtual[[#This Row],[Poda]]+30)</f>
        <v>46164</v>
      </c>
      <c r="J57" s="34">
        <f>IF(ISBLANK(tbPodasAtual[[#This Row],[Poda]]),"",tbPodasAtual[[#This Row],[Poda]]+45)</f>
        <v>46179</v>
      </c>
      <c r="K57" s="35">
        <f>IF(tbPodasAtual[[#This Row],[Poda]]="","",tbPodasAtual[[#This Row],[Poda]]+110)</f>
        <v>46244</v>
      </c>
      <c r="L57" s="35"/>
      <c r="M57" s="36" t="str">
        <f t="shared" si="1"/>
        <v>o</v>
      </c>
    </row>
    <row r="58" spans="2:13" x14ac:dyDescent="0.25">
      <c r="B58" s="29">
        <v>52</v>
      </c>
      <c r="C58" s="30">
        <v>46134</v>
      </c>
      <c r="D58" s="31">
        <f>IF(ISBLANK(tbPodasAtual[[#This Row],[Poda]]),"",_xlfn.ISOWEEKNUM(tbPodasAtual[[#This Row],[Poda]]))</f>
        <v>17</v>
      </c>
      <c r="E58" s="32" t="s">
        <v>27</v>
      </c>
      <c r="F58" s="31" t="s">
        <v>25</v>
      </c>
      <c r="G58" s="33">
        <f ca="1">IF(tbPodasAtual[[#This Row],[Poda]]="","",IF(tbPodasAtual[[#This Row],[Colhida]]="x",tbPodasAtual[[#This Row],[Colheita]]-tbPodasAtual[[#This Row],[Poda]],TODAY()-tbPodasAtual[[#This Row],[Poda]]))</f>
        <v>26</v>
      </c>
      <c r="H58" s="34">
        <f>IF(ISBLANK(tbPodasAtual[[#This Row],[Poda]]),"",tbPodasAtual[[#This Row],[Poda]]+10)</f>
        <v>46144</v>
      </c>
      <c r="I58" s="34">
        <f>IF(ISBLANK(tbPodasAtual[[#This Row],[Poda]]),"",tbPodasAtual[[#This Row],[Poda]]+30)</f>
        <v>46164</v>
      </c>
      <c r="J58" s="34">
        <f>IF(ISBLANK(tbPodasAtual[[#This Row],[Poda]]),"",tbPodasAtual[[#This Row],[Poda]]+45)</f>
        <v>46179</v>
      </c>
      <c r="K58" s="35">
        <f>IF(tbPodasAtual[[#This Row],[Poda]]="","",tbPodasAtual[[#This Row],[Poda]]+110)</f>
        <v>46244</v>
      </c>
      <c r="L58" s="35"/>
      <c r="M58" s="36" t="str">
        <f t="shared" si="1"/>
        <v>o</v>
      </c>
    </row>
    <row r="59" spans="2:13" x14ac:dyDescent="0.25">
      <c r="B59" s="29">
        <v>53</v>
      </c>
      <c r="C59" s="30">
        <v>46134</v>
      </c>
      <c r="D59" s="31">
        <f>IF(ISBLANK(tbPodasAtual[[#This Row],[Poda]]),"",_xlfn.ISOWEEKNUM(tbPodasAtual[[#This Row],[Poda]]))</f>
        <v>17</v>
      </c>
      <c r="E59" s="32" t="s">
        <v>27</v>
      </c>
      <c r="F59" s="31" t="s">
        <v>25</v>
      </c>
      <c r="G59" s="33">
        <f ca="1">IF(tbPodasAtual[[#This Row],[Poda]]="","",IF(tbPodasAtual[[#This Row],[Colhida]]="x",tbPodasAtual[[#This Row],[Colheita]]-tbPodasAtual[[#This Row],[Poda]],TODAY()-tbPodasAtual[[#This Row],[Poda]]))</f>
        <v>26</v>
      </c>
      <c r="H59" s="34">
        <f>IF(ISBLANK(tbPodasAtual[[#This Row],[Poda]]),"",tbPodasAtual[[#This Row],[Poda]]+10)</f>
        <v>46144</v>
      </c>
      <c r="I59" s="34">
        <f>IF(ISBLANK(tbPodasAtual[[#This Row],[Poda]]),"",tbPodasAtual[[#This Row],[Poda]]+30)</f>
        <v>46164</v>
      </c>
      <c r="J59" s="34">
        <f>IF(ISBLANK(tbPodasAtual[[#This Row],[Poda]]),"",tbPodasAtual[[#This Row],[Poda]]+45)</f>
        <v>46179</v>
      </c>
      <c r="K59" s="35">
        <f>IF(tbPodasAtual[[#This Row],[Poda]]="","",tbPodasAtual[[#This Row],[Poda]]+110)</f>
        <v>46244</v>
      </c>
      <c r="L59" s="35"/>
      <c r="M59" s="36" t="str">
        <f t="shared" si="1"/>
        <v>o</v>
      </c>
    </row>
    <row r="60" spans="2:13" x14ac:dyDescent="0.25">
      <c r="B60" s="29">
        <v>54</v>
      </c>
      <c r="C60" s="30">
        <v>46065</v>
      </c>
      <c r="D60" s="31">
        <f>IF(ISBLANK(tbPodasAtual[[#This Row],[Poda]]),"",_xlfn.ISOWEEKNUM(tbPodasAtual[[#This Row],[Poda]]))</f>
        <v>7</v>
      </c>
      <c r="E60" s="32" t="s">
        <v>27</v>
      </c>
      <c r="F60" s="31" t="s">
        <v>25</v>
      </c>
      <c r="G60" s="33">
        <f ca="1">IF(tbPodasAtual[[#This Row],[Poda]]="","",IF(tbPodasAtual[[#This Row],[Colhida]]="x",tbPodasAtual[[#This Row],[Colheita]]-tbPodasAtual[[#This Row],[Poda]],TODAY()-tbPodasAtual[[#This Row],[Poda]]))</f>
        <v>95</v>
      </c>
      <c r="H60" s="34">
        <f>IF(ISBLANK(tbPodasAtual[[#This Row],[Poda]]),"",tbPodasAtual[[#This Row],[Poda]]+10)</f>
        <v>46075</v>
      </c>
      <c r="I60" s="34">
        <f>IF(ISBLANK(tbPodasAtual[[#This Row],[Poda]]),"",tbPodasAtual[[#This Row],[Poda]]+30)</f>
        <v>46095</v>
      </c>
      <c r="J60" s="34">
        <f>IF(ISBLANK(tbPodasAtual[[#This Row],[Poda]]),"",tbPodasAtual[[#This Row],[Poda]]+45)</f>
        <v>46110</v>
      </c>
      <c r="K60" s="35">
        <f>IF(tbPodasAtual[[#This Row],[Poda]]="","",tbPodasAtual[[#This Row],[Poda]]+110)</f>
        <v>46175</v>
      </c>
      <c r="L60" s="35"/>
      <c r="M60" s="36" t="str">
        <f t="shared" si="1"/>
        <v>o</v>
      </c>
    </row>
    <row r="61" spans="2:13" x14ac:dyDescent="0.25">
      <c r="B61" s="29">
        <v>55</v>
      </c>
      <c r="C61" s="30">
        <v>46065</v>
      </c>
      <c r="D61" s="31">
        <f>IF(ISBLANK(tbPodasAtual[[#This Row],[Poda]]),"",_xlfn.ISOWEEKNUM(tbPodasAtual[[#This Row],[Poda]]))</f>
        <v>7</v>
      </c>
      <c r="E61" s="32" t="s">
        <v>27</v>
      </c>
      <c r="F61" s="31" t="s">
        <v>25</v>
      </c>
      <c r="G61" s="33">
        <f ca="1">IF(tbPodasAtual[[#This Row],[Poda]]="","",IF(tbPodasAtual[[#This Row],[Colhida]]="x",tbPodasAtual[[#This Row],[Colheita]]-tbPodasAtual[[#This Row],[Poda]],TODAY()-tbPodasAtual[[#This Row],[Poda]]))</f>
        <v>95</v>
      </c>
      <c r="H61" s="34">
        <f>IF(ISBLANK(tbPodasAtual[[#This Row],[Poda]]),"",tbPodasAtual[[#This Row],[Poda]]+10)</f>
        <v>46075</v>
      </c>
      <c r="I61" s="34">
        <f>IF(ISBLANK(tbPodasAtual[[#This Row],[Poda]]),"",tbPodasAtual[[#This Row],[Poda]]+30)</f>
        <v>46095</v>
      </c>
      <c r="J61" s="34">
        <f>IF(ISBLANK(tbPodasAtual[[#This Row],[Poda]]),"",tbPodasAtual[[#This Row],[Poda]]+45)</f>
        <v>46110</v>
      </c>
      <c r="K61" s="35">
        <f>IF(tbPodasAtual[[#This Row],[Poda]]="","",tbPodasAtual[[#This Row],[Poda]]+110)</f>
        <v>46175</v>
      </c>
      <c r="L61" s="35"/>
      <c r="M61" s="36" t="str">
        <f t="shared" si="1"/>
        <v>o</v>
      </c>
    </row>
    <row r="62" spans="2:13" x14ac:dyDescent="0.25">
      <c r="B62" s="29">
        <v>56</v>
      </c>
      <c r="C62" s="30">
        <v>46065</v>
      </c>
      <c r="D62" s="31">
        <f>IF(ISBLANK(tbPodasAtual[[#This Row],[Poda]]),"",_xlfn.ISOWEEKNUM(tbPodasAtual[[#This Row],[Poda]]))</f>
        <v>7</v>
      </c>
      <c r="E62" s="32" t="s">
        <v>27</v>
      </c>
      <c r="F62" s="31" t="s">
        <v>25</v>
      </c>
      <c r="G62" s="33">
        <f ca="1">IF(tbPodasAtual[[#This Row],[Poda]]="","",IF(tbPodasAtual[[#This Row],[Colhida]]="x",tbPodasAtual[[#This Row],[Colheita]]-tbPodasAtual[[#This Row],[Poda]],TODAY()-tbPodasAtual[[#This Row],[Poda]]))</f>
        <v>95</v>
      </c>
      <c r="H62" s="34">
        <f>IF(ISBLANK(tbPodasAtual[[#This Row],[Poda]]),"",tbPodasAtual[[#This Row],[Poda]]+10)</f>
        <v>46075</v>
      </c>
      <c r="I62" s="34">
        <f>IF(ISBLANK(tbPodasAtual[[#This Row],[Poda]]),"",tbPodasAtual[[#This Row],[Poda]]+30)</f>
        <v>46095</v>
      </c>
      <c r="J62" s="34">
        <f>IF(ISBLANK(tbPodasAtual[[#This Row],[Poda]]),"",tbPodasAtual[[#This Row],[Poda]]+45)</f>
        <v>46110</v>
      </c>
      <c r="K62" s="35">
        <f>IF(tbPodasAtual[[#This Row],[Poda]]="","",tbPodasAtual[[#This Row],[Poda]]+110)</f>
        <v>46175</v>
      </c>
      <c r="L62" s="35"/>
      <c r="M62" s="36" t="str">
        <f t="shared" si="1"/>
        <v>o</v>
      </c>
    </row>
    <row r="63" spans="2:13" x14ac:dyDescent="0.25">
      <c r="B63" s="29">
        <v>57</v>
      </c>
      <c r="C63" s="30">
        <v>46071</v>
      </c>
      <c r="D63" s="31">
        <f>IF(ISBLANK(tbPodasAtual[[#This Row],[Poda]]),"",_xlfn.ISOWEEKNUM(tbPodasAtual[[#This Row],[Poda]]))</f>
        <v>8</v>
      </c>
      <c r="E63" s="32" t="s">
        <v>27</v>
      </c>
      <c r="F63" s="31" t="s">
        <v>25</v>
      </c>
      <c r="G63" s="33">
        <f ca="1">IF(tbPodasAtual[[#This Row],[Poda]]="","",IF(tbPodasAtual[[#This Row],[Colhida]]="x",tbPodasAtual[[#This Row],[Colheita]]-tbPodasAtual[[#This Row],[Poda]],TODAY()-tbPodasAtual[[#This Row],[Poda]]))</f>
        <v>89</v>
      </c>
      <c r="H63" s="34">
        <f>IF(ISBLANK(tbPodasAtual[[#This Row],[Poda]]),"",tbPodasAtual[[#This Row],[Poda]]+10)</f>
        <v>46081</v>
      </c>
      <c r="I63" s="34">
        <f>IF(ISBLANK(tbPodasAtual[[#This Row],[Poda]]),"",tbPodasAtual[[#This Row],[Poda]]+30)</f>
        <v>46101</v>
      </c>
      <c r="J63" s="34">
        <f>IF(ISBLANK(tbPodasAtual[[#This Row],[Poda]]),"",tbPodasAtual[[#This Row],[Poda]]+45)</f>
        <v>46116</v>
      </c>
      <c r="K63" s="35">
        <f>IF(tbPodasAtual[[#This Row],[Poda]]="","",tbPodasAtual[[#This Row],[Poda]]+110)</f>
        <v>46181</v>
      </c>
      <c r="L63" s="35"/>
      <c r="M63" s="36" t="str">
        <f t="shared" si="1"/>
        <v>o</v>
      </c>
    </row>
    <row r="64" spans="2:13" x14ac:dyDescent="0.25">
      <c r="B64" s="29">
        <v>58</v>
      </c>
      <c r="C64" s="30">
        <v>46071</v>
      </c>
      <c r="D64" s="31">
        <f>IF(ISBLANK(tbPodasAtual[[#This Row],[Poda]]),"",_xlfn.ISOWEEKNUM(tbPodasAtual[[#This Row],[Poda]]))</f>
        <v>8</v>
      </c>
      <c r="E64" s="32" t="s">
        <v>27</v>
      </c>
      <c r="F64" s="31" t="s">
        <v>25</v>
      </c>
      <c r="G64" s="33">
        <f ca="1">IF(tbPodasAtual[[#This Row],[Poda]]="","",IF(tbPodasAtual[[#This Row],[Colhida]]="x",tbPodasAtual[[#This Row],[Colheita]]-tbPodasAtual[[#This Row],[Poda]],TODAY()-tbPodasAtual[[#This Row],[Poda]]))</f>
        <v>89</v>
      </c>
      <c r="H64" s="34">
        <f>IF(ISBLANK(tbPodasAtual[[#This Row],[Poda]]),"",tbPodasAtual[[#This Row],[Poda]]+10)</f>
        <v>46081</v>
      </c>
      <c r="I64" s="34">
        <f>IF(ISBLANK(tbPodasAtual[[#This Row],[Poda]]),"",tbPodasAtual[[#This Row],[Poda]]+30)</f>
        <v>46101</v>
      </c>
      <c r="J64" s="34">
        <f>IF(ISBLANK(tbPodasAtual[[#This Row],[Poda]]),"",tbPodasAtual[[#This Row],[Poda]]+45)</f>
        <v>46116</v>
      </c>
      <c r="K64" s="35">
        <f>IF(tbPodasAtual[[#This Row],[Poda]]="","",tbPodasAtual[[#This Row],[Poda]]+110)</f>
        <v>46181</v>
      </c>
      <c r="L64" s="35"/>
      <c r="M64" s="36" t="str">
        <f t="shared" si="1"/>
        <v>o</v>
      </c>
    </row>
    <row r="65" spans="2:13" x14ac:dyDescent="0.25">
      <c r="B65" s="29">
        <v>59</v>
      </c>
      <c r="C65" s="30">
        <v>46071</v>
      </c>
      <c r="D65" s="31">
        <f>IF(ISBLANK(tbPodasAtual[[#This Row],[Poda]]),"",_xlfn.ISOWEEKNUM(tbPodasAtual[[#This Row],[Poda]]))</f>
        <v>8</v>
      </c>
      <c r="E65" s="32" t="s">
        <v>27</v>
      </c>
      <c r="F65" s="31" t="s">
        <v>25</v>
      </c>
      <c r="G65" s="33">
        <f ca="1">IF(tbPodasAtual[[#This Row],[Poda]]="","",IF(tbPodasAtual[[#This Row],[Colhida]]="x",tbPodasAtual[[#This Row],[Colheita]]-tbPodasAtual[[#This Row],[Poda]],TODAY()-tbPodasAtual[[#This Row],[Poda]]))</f>
        <v>89</v>
      </c>
      <c r="H65" s="34">
        <f>IF(ISBLANK(tbPodasAtual[[#This Row],[Poda]]),"",tbPodasAtual[[#This Row],[Poda]]+10)</f>
        <v>46081</v>
      </c>
      <c r="I65" s="34">
        <f>IF(ISBLANK(tbPodasAtual[[#This Row],[Poda]]),"",tbPodasAtual[[#This Row],[Poda]]+30)</f>
        <v>46101</v>
      </c>
      <c r="J65" s="34">
        <f>IF(ISBLANK(tbPodasAtual[[#This Row],[Poda]]),"",tbPodasAtual[[#This Row],[Poda]]+45)</f>
        <v>46116</v>
      </c>
      <c r="K65" s="35">
        <f>IF(tbPodasAtual[[#This Row],[Poda]]="","",tbPodasAtual[[#This Row],[Poda]]+110)</f>
        <v>46181</v>
      </c>
      <c r="L65" s="35"/>
      <c r="M65" s="36" t="str">
        <f t="shared" si="1"/>
        <v>o</v>
      </c>
    </row>
    <row r="66" spans="2:13" x14ac:dyDescent="0.25">
      <c r="B66" s="29">
        <v>60</v>
      </c>
      <c r="C66" s="30">
        <v>46078</v>
      </c>
      <c r="D66" s="31">
        <f>IF(ISBLANK(tbPodasAtual[[#This Row],[Poda]]),"",_xlfn.ISOWEEKNUM(tbPodasAtual[[#This Row],[Poda]]))</f>
        <v>9</v>
      </c>
      <c r="E66" s="32" t="s">
        <v>27</v>
      </c>
      <c r="F66" s="31" t="s">
        <v>25</v>
      </c>
      <c r="G66" s="33">
        <f ca="1">IF(tbPodasAtual[[#This Row],[Poda]]="","",IF(tbPodasAtual[[#This Row],[Colhida]]="x",tbPodasAtual[[#This Row],[Colheita]]-tbPodasAtual[[#This Row],[Poda]],TODAY()-tbPodasAtual[[#This Row],[Poda]]))</f>
        <v>82</v>
      </c>
      <c r="H66" s="34">
        <f>IF(ISBLANK(tbPodasAtual[[#This Row],[Poda]]),"",tbPodasAtual[[#This Row],[Poda]]+10)</f>
        <v>46088</v>
      </c>
      <c r="I66" s="34">
        <f>IF(ISBLANK(tbPodasAtual[[#This Row],[Poda]]),"",tbPodasAtual[[#This Row],[Poda]]+30)</f>
        <v>46108</v>
      </c>
      <c r="J66" s="34">
        <f>IF(ISBLANK(tbPodasAtual[[#This Row],[Poda]]),"",tbPodasAtual[[#This Row],[Poda]]+45)</f>
        <v>46123</v>
      </c>
      <c r="K66" s="35">
        <f>IF(tbPodasAtual[[#This Row],[Poda]]="","",tbPodasAtual[[#This Row],[Poda]]+110)</f>
        <v>46188</v>
      </c>
      <c r="L66" s="35"/>
      <c r="M66" s="36" t="str">
        <f t="shared" si="1"/>
        <v>o</v>
      </c>
    </row>
    <row r="67" spans="2:13" x14ac:dyDescent="0.25">
      <c r="B67" s="29">
        <v>61</v>
      </c>
      <c r="C67" s="30">
        <v>46078</v>
      </c>
      <c r="D67" s="31">
        <f>IF(ISBLANK(tbPodasAtual[[#This Row],[Poda]]),"",_xlfn.ISOWEEKNUM(tbPodasAtual[[#This Row],[Poda]]))</f>
        <v>9</v>
      </c>
      <c r="E67" s="32" t="s">
        <v>27</v>
      </c>
      <c r="F67" s="31" t="s">
        <v>25</v>
      </c>
      <c r="G67" s="33">
        <f ca="1">IF(tbPodasAtual[[#This Row],[Poda]]="","",IF(tbPodasAtual[[#This Row],[Colhida]]="x",tbPodasAtual[[#This Row],[Colheita]]-tbPodasAtual[[#This Row],[Poda]],TODAY()-tbPodasAtual[[#This Row],[Poda]]))</f>
        <v>82</v>
      </c>
      <c r="H67" s="34">
        <f>IF(ISBLANK(tbPodasAtual[[#This Row],[Poda]]),"",tbPodasAtual[[#This Row],[Poda]]+10)</f>
        <v>46088</v>
      </c>
      <c r="I67" s="34">
        <f>IF(ISBLANK(tbPodasAtual[[#This Row],[Poda]]),"",tbPodasAtual[[#This Row],[Poda]]+30)</f>
        <v>46108</v>
      </c>
      <c r="J67" s="34">
        <f>IF(ISBLANK(tbPodasAtual[[#This Row],[Poda]]),"",tbPodasAtual[[#This Row],[Poda]]+45)</f>
        <v>46123</v>
      </c>
      <c r="K67" s="35">
        <f>IF(tbPodasAtual[[#This Row],[Poda]]="","",tbPodasAtual[[#This Row],[Poda]]+110)</f>
        <v>46188</v>
      </c>
      <c r="L67" s="35"/>
      <c r="M67" s="36" t="str">
        <f t="shared" si="1"/>
        <v>o</v>
      </c>
    </row>
    <row r="68" spans="2:13" x14ac:dyDescent="0.25">
      <c r="B68" s="29">
        <v>62</v>
      </c>
      <c r="C68" s="30">
        <v>46078</v>
      </c>
      <c r="D68" s="31">
        <f>IF(ISBLANK(tbPodasAtual[[#This Row],[Poda]]),"",_xlfn.ISOWEEKNUM(tbPodasAtual[[#This Row],[Poda]]))</f>
        <v>9</v>
      </c>
      <c r="E68" s="32" t="s">
        <v>27</v>
      </c>
      <c r="F68" s="31" t="s">
        <v>25</v>
      </c>
      <c r="G68" s="33">
        <f ca="1">IF(tbPodasAtual[[#This Row],[Poda]]="","",IF(tbPodasAtual[[#This Row],[Colhida]]="x",tbPodasAtual[[#This Row],[Colheita]]-tbPodasAtual[[#This Row],[Poda]],TODAY()-tbPodasAtual[[#This Row],[Poda]]))</f>
        <v>82</v>
      </c>
      <c r="H68" s="34">
        <f>IF(ISBLANK(tbPodasAtual[[#This Row],[Poda]]),"",tbPodasAtual[[#This Row],[Poda]]+10)</f>
        <v>46088</v>
      </c>
      <c r="I68" s="34">
        <f>IF(ISBLANK(tbPodasAtual[[#This Row],[Poda]]),"",tbPodasAtual[[#This Row],[Poda]]+30)</f>
        <v>46108</v>
      </c>
      <c r="J68" s="34">
        <f>IF(ISBLANK(tbPodasAtual[[#This Row],[Poda]]),"",tbPodasAtual[[#This Row],[Poda]]+45)</f>
        <v>46123</v>
      </c>
      <c r="K68" s="35">
        <f>IF(tbPodasAtual[[#This Row],[Poda]]="","",tbPodasAtual[[#This Row],[Poda]]+110)</f>
        <v>46188</v>
      </c>
      <c r="L68" s="35"/>
      <c r="M68" s="36" t="str">
        <f t="shared" si="1"/>
        <v>o</v>
      </c>
    </row>
    <row r="69" spans="2:13" x14ac:dyDescent="0.25">
      <c r="B69" s="29">
        <v>63</v>
      </c>
      <c r="C69" s="30">
        <v>46078</v>
      </c>
      <c r="D69" s="31">
        <f>IF(ISBLANK(tbPodasAtual[[#This Row],[Poda]]),"",_xlfn.ISOWEEKNUM(tbPodasAtual[[#This Row],[Poda]]))</f>
        <v>9</v>
      </c>
      <c r="E69" s="32" t="s">
        <v>27</v>
      </c>
      <c r="F69" s="31" t="s">
        <v>25</v>
      </c>
      <c r="G69" s="33">
        <f ca="1">IF(tbPodasAtual[[#This Row],[Poda]]="","",IF(tbPodasAtual[[#This Row],[Colhida]]="x",tbPodasAtual[[#This Row],[Colheita]]-tbPodasAtual[[#This Row],[Poda]],TODAY()-tbPodasAtual[[#This Row],[Poda]]))</f>
        <v>82</v>
      </c>
      <c r="H69" s="34">
        <f>IF(ISBLANK(tbPodasAtual[[#This Row],[Poda]]),"",tbPodasAtual[[#This Row],[Poda]]+10)</f>
        <v>46088</v>
      </c>
      <c r="I69" s="34">
        <f>IF(ISBLANK(tbPodasAtual[[#This Row],[Poda]]),"",tbPodasAtual[[#This Row],[Poda]]+30)</f>
        <v>46108</v>
      </c>
      <c r="J69" s="34">
        <f>IF(ISBLANK(tbPodasAtual[[#This Row],[Poda]]),"",tbPodasAtual[[#This Row],[Poda]]+45)</f>
        <v>46123</v>
      </c>
      <c r="K69" s="35">
        <f>IF(tbPodasAtual[[#This Row],[Poda]]="","",tbPodasAtual[[#This Row],[Poda]]+110)</f>
        <v>46188</v>
      </c>
      <c r="L69" s="35"/>
      <c r="M69" s="36" t="str">
        <f t="shared" si="1"/>
        <v>o</v>
      </c>
    </row>
  </sheetData>
  <mergeCells count="2">
    <mergeCell ref="G3:J3"/>
    <mergeCell ref="B6:M6"/>
  </mergeCells>
  <conditionalFormatting sqref="B8:M8 F9:F31">
    <cfRule type="expression" dxfId="16" priority="4">
      <formula>(ISNUMBER(#REF!))*(#REF!&lt;&gt;$C8)</formula>
    </cfRule>
  </conditionalFormatting>
  <conditionalFormatting sqref="B8:M69">
    <cfRule type="expression" dxfId="15" priority="2">
      <formula>IF(WEEKNUM($C8,2)=WEEKNUM(NOW(),2),TRUE)</formula>
    </cfRule>
  </conditionalFormatting>
  <conditionalFormatting sqref="B9:M69">
    <cfRule type="expression" dxfId="14" priority="3">
      <formula>(ISNUMBER($C8))*($C8&lt;&gt;$C9)</formula>
    </cfRule>
  </conditionalFormatting>
  <conditionalFormatting sqref="H9:J69">
    <cfRule type="expression" dxfId="13" priority="1">
      <formula>(ISNUMBER(#REF!))*(#REF!&lt;&gt;$C9)</formula>
    </cfRule>
  </conditionalFormatting>
  <pageMargins left="0.31496062992125984" right="0.51181102362204722" top="0.35433070866141736" bottom="0.35433070866141736" header="0.31496062992125984" footer="0.31496062992125984"/>
  <pageSetup paperSize="9" scale="95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Safra 2025</vt:lpstr>
      <vt:lpstr>'Safra 2025'!Area_de_impressao</vt:lpstr>
      <vt:lpstr>'Safra 2025'!ciclo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 .</dc:creator>
  <cp:lastModifiedBy>CQF .</cp:lastModifiedBy>
  <dcterms:created xsi:type="dcterms:W3CDTF">2026-05-18T18:58:35Z</dcterms:created>
  <dcterms:modified xsi:type="dcterms:W3CDTF">2026-05-18T18:58:59Z</dcterms:modified>
</cp:coreProperties>
</file>